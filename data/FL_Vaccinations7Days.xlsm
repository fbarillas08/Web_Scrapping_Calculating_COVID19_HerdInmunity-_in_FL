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orsair_Barillas\Documents\FAB\Quant\UMBootcamp\UM_Homework\Project_2\Data\"/>
    </mc:Choice>
  </mc:AlternateContent>
  <xr:revisionPtr revIDLastSave="0" documentId="13_ncr:1_{5C638F9F-F3D5-4135-886E-DC3AA2FF4F81}" xr6:coauthVersionLast="46" xr6:coauthVersionMax="46" xr10:uidLastSave="{00000000-0000-0000-0000-000000000000}"/>
  <bookViews>
    <workbookView xWindow="2145" yWindow="210" windowWidth="21600" windowHeight="13035" xr2:uid="{00000000-000D-0000-FFFF-FFFF00000000}"/>
  </bookViews>
  <sheets>
    <sheet name="Summary" sheetId="8" r:id="rId1"/>
    <sheet name="Controls" sheetId="9" r:id="rId2"/>
    <sheet name="HIT_Histogram" sheetId="16" r:id="rId3"/>
    <sheet name="Counties" sheetId="11" r:id="rId4"/>
    <sheet name="Vacc_vs_Poverty" sheetId="12" r:id="rId5"/>
    <sheet name="Vacc_vs_Uninsured_Rate" sheetId="13" r:id="rId6"/>
    <sheet name="Vacc_vs_PopDensity" sheetId="14" r:id="rId7"/>
    <sheet name="Vacc_vs_Population" sheetId="15" r:id="rId8"/>
    <sheet name="4-15" sheetId="7" r:id="rId9"/>
    <sheet name="4-16" sheetId="6" r:id="rId10"/>
    <sheet name="4-17" sheetId="1" r:id="rId11"/>
    <sheet name="4-18" sheetId="10" r:id="rId12"/>
    <sheet name="4-19" sheetId="2" r:id="rId13"/>
    <sheet name="4-20" sheetId="3" r:id="rId14"/>
    <sheet name="4-21" sheetId="4" r:id="rId15"/>
    <sheet name="4-22" sheetId="5" r:id="rId16"/>
    <sheet name="4-23" sheetId="17" r:id="rId17"/>
    <sheet name="4-24" sheetId="18" r:id="rId18"/>
    <sheet name="4-25" sheetId="19" r:id="rId19"/>
    <sheet name="4-26" sheetId="20" r:id="rId20"/>
    <sheet name="4-27" sheetId="21" r:id="rId21"/>
  </sheets>
  <definedNames>
    <definedName name="_xlchart.v1.0" hidden="1">Counties!$L$2:$L$68</definedName>
    <definedName name="_xlchart.v1.1" hidden="1">'4-15'!$P$2:$P$68</definedName>
    <definedName name="All_Shots">Summary!$K$1</definedName>
    <definedName name="CountyID">Summary!$A$1</definedName>
    <definedName name="CountySummary">Counties!$A$1:$M$68</definedName>
    <definedName name="Current_Vaccinated">Summary!$E$4</definedName>
    <definedName name="Days_to_HIT">Summary!$H$2</definedName>
    <definedName name="HIT_Percent">Summary!$D$3</definedName>
    <definedName name="HIT_Target">Summary!$H$1</definedName>
    <definedName name="MaxDays">Summary!$H$3</definedName>
    <definedName name="Population">Summary!$D$2</definedName>
    <definedName name="SummTable" localSheetId="3">Counties!$A$1:$H$68</definedName>
    <definedName name="SummTable">Controls!$A$1:$H$68</definedName>
    <definedName name="Table415">'4-15'!$A$1:$Q$68</definedName>
    <definedName name="Table416">'4-16'!$A$1:$Q$68</definedName>
    <definedName name="Table417">'4-17'!$A$1:$Q$68</definedName>
    <definedName name="Table418">'4-18'!$A$1:$Q$68</definedName>
    <definedName name="Table419">'4-19'!$A$1:$Q$68</definedName>
    <definedName name="Table420">'4-20'!$A$1:$Q$68</definedName>
    <definedName name="Table421">'4-21'!$A$1:$Q$68</definedName>
    <definedName name="Table422">'4-22'!$A$1:$Q$68</definedName>
    <definedName name="Table423">'4-23'!$A$1:$Q$68</definedName>
    <definedName name="Table424">'4-24'!$A$1:$Q$68</definedName>
    <definedName name="Table425">'4-25'!$A$1:$Q$68</definedName>
    <definedName name="Table426">'4-26'!$A$1:$Q$68</definedName>
    <definedName name="Table427">'4-27'!$A$1:$Q$68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8" l="1"/>
  <c r="B18" i="8"/>
  <c r="C18" i="8" s="1"/>
  <c r="E17" i="8"/>
  <c r="B17" i="8"/>
  <c r="C17" i="8" s="1"/>
  <c r="E16" i="8"/>
  <c r="B16" i="8"/>
  <c r="C16" i="8" s="1"/>
  <c r="E15" i="8"/>
  <c r="B15" i="8"/>
  <c r="C15" i="8" s="1"/>
  <c r="E14" i="8"/>
  <c r="B14" i="8"/>
  <c r="C14" i="8" s="1"/>
  <c r="M3" i="11"/>
  <c r="M5" i="11"/>
  <c r="M6" i="11"/>
  <c r="M9" i="11"/>
  <c r="M10" i="11"/>
  <c r="M13" i="11"/>
  <c r="M14" i="11"/>
  <c r="M17" i="11"/>
  <c r="M18" i="11"/>
  <c r="M21" i="11"/>
  <c r="M22" i="11"/>
  <c r="M25" i="11"/>
  <c r="M26" i="11"/>
  <c r="M29" i="11"/>
  <c r="M30" i="11"/>
  <c r="M33" i="11"/>
  <c r="M34" i="11"/>
  <c r="M37" i="11"/>
  <c r="M38" i="11"/>
  <c r="M41" i="11"/>
  <c r="M42" i="11"/>
  <c r="M45" i="11"/>
  <c r="M46" i="11"/>
  <c r="M49" i="11"/>
  <c r="M50" i="11"/>
  <c r="M53" i="11"/>
  <c r="M54" i="11"/>
  <c r="M57" i="11"/>
  <c r="M58" i="11"/>
  <c r="M61" i="11"/>
  <c r="M62" i="11"/>
  <c r="M65" i="11"/>
  <c r="M66" i="11"/>
  <c r="M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2" i="11"/>
  <c r="L3" i="11"/>
  <c r="L4" i="11"/>
  <c r="M4" i="11" s="1"/>
  <c r="L5" i="11"/>
  <c r="L6" i="11"/>
  <c r="L7" i="11"/>
  <c r="M7" i="11" s="1"/>
  <c r="L8" i="11"/>
  <c r="M8" i="11" s="1"/>
  <c r="L9" i="11"/>
  <c r="L10" i="11"/>
  <c r="L11" i="11"/>
  <c r="M11" i="11" s="1"/>
  <c r="L12" i="11"/>
  <c r="M12" i="11" s="1"/>
  <c r="L13" i="11"/>
  <c r="L14" i="11"/>
  <c r="L15" i="11"/>
  <c r="M15" i="11" s="1"/>
  <c r="L16" i="11"/>
  <c r="M16" i="11" s="1"/>
  <c r="L17" i="11"/>
  <c r="L18" i="11"/>
  <c r="L19" i="11"/>
  <c r="M19" i="11" s="1"/>
  <c r="L20" i="11"/>
  <c r="M20" i="11" s="1"/>
  <c r="L21" i="11"/>
  <c r="L22" i="11"/>
  <c r="L23" i="11"/>
  <c r="M23" i="11" s="1"/>
  <c r="L24" i="11"/>
  <c r="M24" i="11" s="1"/>
  <c r="L25" i="11"/>
  <c r="L26" i="11"/>
  <c r="L27" i="11"/>
  <c r="M27" i="11" s="1"/>
  <c r="L28" i="11"/>
  <c r="M28" i="11" s="1"/>
  <c r="L29" i="11"/>
  <c r="L30" i="11"/>
  <c r="L31" i="11"/>
  <c r="M31" i="11" s="1"/>
  <c r="L32" i="11"/>
  <c r="M32" i="11" s="1"/>
  <c r="L33" i="11"/>
  <c r="L34" i="11"/>
  <c r="L35" i="11"/>
  <c r="M35" i="11" s="1"/>
  <c r="L36" i="11"/>
  <c r="M36" i="11" s="1"/>
  <c r="L37" i="11"/>
  <c r="L38" i="11"/>
  <c r="L39" i="11"/>
  <c r="M39" i="11" s="1"/>
  <c r="L40" i="11"/>
  <c r="M40" i="11" s="1"/>
  <c r="L41" i="11"/>
  <c r="L42" i="11"/>
  <c r="L43" i="11"/>
  <c r="M43" i="11" s="1"/>
  <c r="L44" i="11"/>
  <c r="M44" i="11" s="1"/>
  <c r="L45" i="11"/>
  <c r="L46" i="11"/>
  <c r="L47" i="11"/>
  <c r="M47" i="11" s="1"/>
  <c r="L48" i="11"/>
  <c r="M48" i="11" s="1"/>
  <c r="L49" i="11"/>
  <c r="L50" i="11"/>
  <c r="L51" i="11"/>
  <c r="M51" i="11" s="1"/>
  <c r="L52" i="11"/>
  <c r="M52" i="11" s="1"/>
  <c r="L53" i="11"/>
  <c r="L54" i="11"/>
  <c r="L55" i="11"/>
  <c r="M55" i="11" s="1"/>
  <c r="L56" i="11"/>
  <c r="M56" i="11" s="1"/>
  <c r="L57" i="11"/>
  <c r="L58" i="11"/>
  <c r="L59" i="11"/>
  <c r="M59" i="11" s="1"/>
  <c r="L60" i="11"/>
  <c r="M60" i="11" s="1"/>
  <c r="L61" i="11"/>
  <c r="L62" i="11"/>
  <c r="L63" i="11"/>
  <c r="M63" i="11" s="1"/>
  <c r="L64" i="11"/>
  <c r="M64" i="11" s="1"/>
  <c r="L65" i="11"/>
  <c r="L66" i="11"/>
  <c r="L67" i="11"/>
  <c r="M67" i="11" s="1"/>
  <c r="L68" i="11"/>
  <c r="M68" i="11" s="1"/>
  <c r="L2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2" i="11"/>
  <c r="I3" i="11"/>
  <c r="J3" i="11" s="1"/>
  <c r="I4" i="11"/>
  <c r="J4" i="11"/>
  <c r="I5" i="11"/>
  <c r="J5" i="11" s="1"/>
  <c r="I6" i="11"/>
  <c r="J6" i="11"/>
  <c r="I7" i="11"/>
  <c r="J7" i="11" s="1"/>
  <c r="I8" i="11"/>
  <c r="J8" i="11"/>
  <c r="I9" i="11"/>
  <c r="J9" i="11" s="1"/>
  <c r="I10" i="11"/>
  <c r="J10" i="11"/>
  <c r="I11" i="11"/>
  <c r="J11" i="11" s="1"/>
  <c r="I12" i="11"/>
  <c r="J12" i="11"/>
  <c r="I13" i="11"/>
  <c r="J13" i="11" s="1"/>
  <c r="I14" i="11"/>
  <c r="J14" i="11"/>
  <c r="I15" i="11"/>
  <c r="J15" i="11" s="1"/>
  <c r="I16" i="11"/>
  <c r="J16" i="11"/>
  <c r="I17" i="11"/>
  <c r="J17" i="11" s="1"/>
  <c r="I18" i="11"/>
  <c r="J18" i="11"/>
  <c r="I19" i="11"/>
  <c r="J19" i="11" s="1"/>
  <c r="I20" i="11"/>
  <c r="J20" i="11"/>
  <c r="I21" i="11"/>
  <c r="J21" i="11" s="1"/>
  <c r="I22" i="11"/>
  <c r="J22" i="11"/>
  <c r="I23" i="11"/>
  <c r="J23" i="11" s="1"/>
  <c r="I24" i="11"/>
  <c r="J24" i="11"/>
  <c r="I25" i="11"/>
  <c r="J25" i="11" s="1"/>
  <c r="I26" i="11"/>
  <c r="J26" i="11"/>
  <c r="I27" i="11"/>
  <c r="J27" i="11" s="1"/>
  <c r="I28" i="11"/>
  <c r="J28" i="11"/>
  <c r="I29" i="11"/>
  <c r="J29" i="11" s="1"/>
  <c r="I30" i="11"/>
  <c r="J30" i="11"/>
  <c r="I31" i="11"/>
  <c r="J31" i="11" s="1"/>
  <c r="I32" i="11"/>
  <c r="J32" i="11"/>
  <c r="I33" i="11"/>
  <c r="J33" i="11" s="1"/>
  <c r="I34" i="11"/>
  <c r="J34" i="11"/>
  <c r="I35" i="11"/>
  <c r="J35" i="11" s="1"/>
  <c r="I36" i="11"/>
  <c r="J36" i="11"/>
  <c r="I37" i="11"/>
  <c r="J37" i="11" s="1"/>
  <c r="I38" i="11"/>
  <c r="J38" i="11"/>
  <c r="I39" i="11"/>
  <c r="J39" i="11" s="1"/>
  <c r="I40" i="11"/>
  <c r="J40" i="11"/>
  <c r="I41" i="11"/>
  <c r="J41" i="11" s="1"/>
  <c r="I42" i="11"/>
  <c r="J42" i="11"/>
  <c r="I43" i="11"/>
  <c r="J43" i="11" s="1"/>
  <c r="I44" i="11"/>
  <c r="J44" i="11"/>
  <c r="I45" i="11"/>
  <c r="J45" i="11" s="1"/>
  <c r="I46" i="11"/>
  <c r="J46" i="11"/>
  <c r="I47" i="11"/>
  <c r="J47" i="11" s="1"/>
  <c r="I48" i="11"/>
  <c r="J48" i="11"/>
  <c r="I49" i="11"/>
  <c r="J49" i="11" s="1"/>
  <c r="I50" i="11"/>
  <c r="J50" i="11"/>
  <c r="I51" i="11"/>
  <c r="J51" i="11" s="1"/>
  <c r="I52" i="11"/>
  <c r="J52" i="11"/>
  <c r="I53" i="11"/>
  <c r="J53" i="11" s="1"/>
  <c r="I54" i="11"/>
  <c r="J54" i="11"/>
  <c r="I55" i="11"/>
  <c r="J55" i="11" s="1"/>
  <c r="I56" i="11"/>
  <c r="J56" i="11"/>
  <c r="I57" i="11"/>
  <c r="J57" i="11" s="1"/>
  <c r="I58" i="11"/>
  <c r="J58" i="11"/>
  <c r="I59" i="11"/>
  <c r="J59" i="11" s="1"/>
  <c r="I60" i="11"/>
  <c r="J60" i="11"/>
  <c r="I61" i="11"/>
  <c r="J61" i="11" s="1"/>
  <c r="I62" i="11"/>
  <c r="J62" i="11"/>
  <c r="I63" i="11"/>
  <c r="J63" i="11" s="1"/>
  <c r="I64" i="11"/>
  <c r="J64" i="11"/>
  <c r="I65" i="11"/>
  <c r="J65" i="11" s="1"/>
  <c r="I66" i="11"/>
  <c r="J66" i="11"/>
  <c r="I67" i="11"/>
  <c r="J67" i="11" s="1"/>
  <c r="I68" i="11"/>
  <c r="J68" i="11"/>
  <c r="J2" i="11"/>
  <c r="I2" i="11"/>
  <c r="H68" i="11"/>
  <c r="G68" i="11"/>
  <c r="H67" i="11"/>
  <c r="G67" i="11"/>
  <c r="H66" i="11"/>
  <c r="G66" i="11"/>
  <c r="H65" i="11"/>
  <c r="G65" i="11"/>
  <c r="H64" i="11"/>
  <c r="G64" i="11"/>
  <c r="H63" i="11"/>
  <c r="G63" i="11"/>
  <c r="H62" i="11"/>
  <c r="G62" i="11"/>
  <c r="H61" i="11"/>
  <c r="G61" i="11"/>
  <c r="H60" i="11"/>
  <c r="G60" i="11"/>
  <c r="H59" i="11"/>
  <c r="G59" i="11"/>
  <c r="H58" i="11"/>
  <c r="G58" i="11"/>
  <c r="H57" i="11"/>
  <c r="G57" i="11"/>
  <c r="H56" i="11"/>
  <c r="G56" i="11"/>
  <c r="H55" i="11"/>
  <c r="G55" i="11"/>
  <c r="H54" i="11"/>
  <c r="G54" i="11"/>
  <c r="H53" i="11"/>
  <c r="G53" i="11"/>
  <c r="H52" i="11"/>
  <c r="G52" i="11"/>
  <c r="H51" i="11"/>
  <c r="G51" i="11"/>
  <c r="H50" i="11"/>
  <c r="G50" i="11"/>
  <c r="H49" i="11"/>
  <c r="G49" i="11"/>
  <c r="H48" i="11"/>
  <c r="G48" i="11"/>
  <c r="H47" i="11"/>
  <c r="G47" i="11"/>
  <c r="H46" i="11"/>
  <c r="G46" i="11"/>
  <c r="H45" i="11"/>
  <c r="G45" i="11"/>
  <c r="H44" i="11"/>
  <c r="G44" i="11"/>
  <c r="H43" i="11"/>
  <c r="G43" i="11"/>
  <c r="H42" i="11"/>
  <c r="G42" i="11"/>
  <c r="H41" i="11"/>
  <c r="G41" i="11"/>
  <c r="H40" i="11"/>
  <c r="G40" i="11"/>
  <c r="H39" i="11"/>
  <c r="G39" i="11"/>
  <c r="H38" i="11"/>
  <c r="G38" i="11"/>
  <c r="H37" i="11"/>
  <c r="G37" i="11"/>
  <c r="H36" i="11"/>
  <c r="G36" i="11"/>
  <c r="H35" i="11"/>
  <c r="G35" i="11"/>
  <c r="H34" i="11"/>
  <c r="G34" i="11"/>
  <c r="H33" i="11"/>
  <c r="G33" i="11"/>
  <c r="H32" i="11"/>
  <c r="G32" i="11"/>
  <c r="H31" i="11"/>
  <c r="G31" i="11"/>
  <c r="H30" i="11"/>
  <c r="G30" i="11"/>
  <c r="H29" i="11"/>
  <c r="G29" i="11"/>
  <c r="H28" i="11"/>
  <c r="G28" i="11"/>
  <c r="H27" i="11"/>
  <c r="G27" i="11"/>
  <c r="H26" i="11"/>
  <c r="G26" i="11"/>
  <c r="H25" i="11"/>
  <c r="G25" i="11"/>
  <c r="H24" i="11"/>
  <c r="G24" i="11"/>
  <c r="H23" i="11"/>
  <c r="G23" i="11"/>
  <c r="H22" i="11"/>
  <c r="G22" i="11"/>
  <c r="H21" i="11"/>
  <c r="G21" i="11"/>
  <c r="H20" i="11"/>
  <c r="G20" i="11"/>
  <c r="H19" i="11"/>
  <c r="G19" i="11"/>
  <c r="H18" i="11"/>
  <c r="G18" i="11"/>
  <c r="H17" i="11"/>
  <c r="G17" i="11"/>
  <c r="H16" i="11"/>
  <c r="G16" i="11"/>
  <c r="H15" i="11"/>
  <c r="G15" i="11"/>
  <c r="H14" i="11"/>
  <c r="G14" i="11"/>
  <c r="H13" i="11"/>
  <c r="G13" i="11"/>
  <c r="H12" i="11"/>
  <c r="G12" i="11"/>
  <c r="H11" i="11"/>
  <c r="G11" i="11"/>
  <c r="H10" i="11"/>
  <c r="G10" i="11"/>
  <c r="H9" i="11"/>
  <c r="G9" i="11"/>
  <c r="H8" i="11"/>
  <c r="G8" i="11"/>
  <c r="H7" i="11"/>
  <c r="G7" i="11"/>
  <c r="H6" i="11"/>
  <c r="G6" i="11"/>
  <c r="H5" i="11"/>
  <c r="G5" i="11"/>
  <c r="H4" i="11"/>
  <c r="G4" i="11"/>
  <c r="H3" i="11"/>
  <c r="G3" i="11"/>
  <c r="H2" i="11"/>
  <c r="G2" i="11"/>
  <c r="F15" i="8" l="1"/>
  <c r="D18" i="8"/>
  <c r="D16" i="8"/>
  <c r="F17" i="8"/>
  <c r="F18" i="8"/>
  <c r="D17" i="8"/>
  <c r="F16" i="8"/>
  <c r="D15" i="8"/>
  <c r="D14" i="8"/>
  <c r="B7" i="8"/>
  <c r="C7" i="8" s="1"/>
  <c r="B13" i="8"/>
  <c r="C13" i="8" s="1"/>
  <c r="B12" i="8"/>
  <c r="C12" i="8" s="1"/>
  <c r="B11" i="8"/>
  <c r="C11" i="8" s="1"/>
  <c r="B10" i="8"/>
  <c r="C10" i="8" s="1"/>
  <c r="B8" i="8"/>
  <c r="C8" i="8" s="1"/>
  <c r="B6" i="8"/>
  <c r="C6" i="8" s="1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B9" i="8" s="1"/>
  <c r="C9" i="8" s="1"/>
  <c r="J11" i="10"/>
  <c r="J10" i="10"/>
  <c r="J9" i="10"/>
  <c r="J8" i="10"/>
  <c r="J7" i="10"/>
  <c r="J6" i="10"/>
  <c r="J5" i="10"/>
  <c r="J4" i="10"/>
  <c r="J3" i="10"/>
  <c r="J2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H3" i="10"/>
  <c r="H2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9" i="8" s="1"/>
  <c r="F3" i="10"/>
  <c r="F2" i="10"/>
  <c r="E13" i="8"/>
  <c r="F14" i="8" s="1"/>
  <c r="E12" i="8"/>
  <c r="E11" i="8"/>
  <c r="E10" i="8"/>
  <c r="E8" i="8"/>
  <c r="E7" i="8"/>
  <c r="E6" i="8"/>
  <c r="D2" i="8"/>
  <c r="G18" i="8" s="1"/>
  <c r="D1" i="8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2" i="9"/>
  <c r="E4" i="8" l="1"/>
  <c r="G17" i="8"/>
  <c r="G15" i="8"/>
  <c r="H1" i="8"/>
  <c r="J232" i="8" s="1"/>
  <c r="G14" i="8"/>
  <c r="G16" i="8"/>
  <c r="F10" i="8"/>
  <c r="F11" i="8"/>
  <c r="F7" i="8"/>
  <c r="F12" i="8"/>
  <c r="F9" i="8"/>
  <c r="F8" i="8"/>
  <c r="F13" i="8"/>
  <c r="G10" i="8"/>
  <c r="D10" i="8"/>
  <c r="G6" i="8"/>
  <c r="G7" i="8"/>
  <c r="G12" i="8"/>
  <c r="G9" i="8"/>
  <c r="G8" i="8"/>
  <c r="D13" i="8"/>
  <c r="G11" i="8"/>
  <c r="G13" i="8"/>
  <c r="D9" i="8"/>
  <c r="D12" i="8"/>
  <c r="D8" i="8"/>
  <c r="D11" i="8"/>
  <c r="D7" i="8"/>
  <c r="D6" i="8"/>
  <c r="J190" i="8" l="1"/>
  <c r="J234" i="8"/>
  <c r="J140" i="8"/>
  <c r="J49" i="8"/>
  <c r="J20" i="8"/>
  <c r="J111" i="8"/>
  <c r="J138" i="8"/>
  <c r="J144" i="8"/>
  <c r="J235" i="8"/>
  <c r="J98" i="8"/>
  <c r="J170" i="8"/>
  <c r="J210" i="8"/>
  <c r="J254" i="8"/>
  <c r="J84" i="8"/>
  <c r="J191" i="8"/>
  <c r="J33" i="8"/>
  <c r="J204" i="8"/>
  <c r="J23" i="8"/>
  <c r="J70" i="8"/>
  <c r="J154" i="8"/>
  <c r="J202" i="8"/>
  <c r="J242" i="8"/>
  <c r="J52" i="8"/>
  <c r="J171" i="8"/>
  <c r="J255" i="8"/>
  <c r="J172" i="8"/>
  <c r="J129" i="8"/>
  <c r="J17" i="8"/>
  <c r="J122" i="8"/>
  <c r="J178" i="8"/>
  <c r="J222" i="8"/>
  <c r="J266" i="8"/>
  <c r="J100" i="8"/>
  <c r="J215" i="8"/>
  <c r="J86" i="8"/>
  <c r="J14" i="8"/>
  <c r="J28" i="8"/>
  <c r="J90" i="8"/>
  <c r="J130" i="8"/>
  <c r="J159" i="8"/>
  <c r="J186" i="8"/>
  <c r="J206" i="8"/>
  <c r="J226" i="8"/>
  <c r="J250" i="8"/>
  <c r="J9" i="8"/>
  <c r="K9" i="8" s="1"/>
  <c r="J62" i="8"/>
  <c r="J116" i="8"/>
  <c r="J150" i="8"/>
  <c r="J175" i="8"/>
  <c r="J199" i="8"/>
  <c r="J219" i="8"/>
  <c r="J239" i="8"/>
  <c r="J263" i="8"/>
  <c r="J44" i="8"/>
  <c r="J94" i="8"/>
  <c r="J146" i="8"/>
  <c r="J184" i="8"/>
  <c r="J212" i="8"/>
  <c r="J236" i="8"/>
  <c r="J66" i="8"/>
  <c r="J125" i="8"/>
  <c r="J241" i="8"/>
  <c r="J124" i="8"/>
  <c r="J155" i="8"/>
  <c r="J183" i="8"/>
  <c r="J203" i="8"/>
  <c r="J223" i="8"/>
  <c r="J247" i="8"/>
  <c r="J6" i="8"/>
  <c r="K6" i="8" s="1"/>
  <c r="J54" i="8"/>
  <c r="J110" i="8"/>
  <c r="J162" i="8"/>
  <c r="J188" i="8"/>
  <c r="J216" i="8"/>
  <c r="J260" i="8"/>
  <c r="J56" i="8"/>
  <c r="J53" i="8"/>
  <c r="J60" i="8"/>
  <c r="J106" i="8"/>
  <c r="J148" i="8"/>
  <c r="J174" i="8"/>
  <c r="J194" i="8"/>
  <c r="J218" i="8"/>
  <c r="J238" i="8"/>
  <c r="J258" i="8"/>
  <c r="J41" i="8"/>
  <c r="J92" i="8"/>
  <c r="J132" i="8"/>
  <c r="J166" i="8"/>
  <c r="J187" i="8"/>
  <c r="J207" i="8"/>
  <c r="J231" i="8"/>
  <c r="J251" i="8"/>
  <c r="J12" i="8"/>
  <c r="K12" i="8" s="1"/>
  <c r="J76" i="8"/>
  <c r="J126" i="8"/>
  <c r="J167" i="8"/>
  <c r="J196" i="8"/>
  <c r="J228" i="8"/>
  <c r="J264" i="8"/>
  <c r="J8" i="8"/>
  <c r="K8" i="8" s="1"/>
  <c r="J39" i="8"/>
  <c r="J118" i="8"/>
  <c r="J151" i="8"/>
  <c r="J180" i="8"/>
  <c r="J200" i="8"/>
  <c r="J220" i="8"/>
  <c r="J244" i="8"/>
  <c r="J107" i="8"/>
  <c r="J169" i="8"/>
  <c r="J37" i="8"/>
  <c r="J168" i="8"/>
  <c r="J248" i="8"/>
  <c r="J135" i="8"/>
  <c r="J91" i="8"/>
  <c r="J34" i="8"/>
  <c r="J153" i="8"/>
  <c r="J105" i="8"/>
  <c r="J75" i="8"/>
  <c r="J205" i="8"/>
  <c r="J229" i="8"/>
  <c r="J252" i="8"/>
  <c r="J127" i="8"/>
  <c r="J87" i="8"/>
  <c r="J29" i="8"/>
  <c r="J145" i="8"/>
  <c r="J93" i="8"/>
  <c r="J71" i="8"/>
  <c r="J221" i="8"/>
  <c r="J88" i="8"/>
  <c r="J123" i="8"/>
  <c r="J103" i="8"/>
  <c r="J77" i="8"/>
  <c r="J50" i="8"/>
  <c r="J24" i="8"/>
  <c r="J161" i="8"/>
  <c r="J141" i="8"/>
  <c r="J113" i="8"/>
  <c r="J80" i="8"/>
  <c r="J32" i="8"/>
  <c r="J55" i="8"/>
  <c r="J11" i="8"/>
  <c r="K11" i="8" s="1"/>
  <c r="J158" i="8"/>
  <c r="J36" i="8"/>
  <c r="J249" i="8"/>
  <c r="J119" i="8"/>
  <c r="J95" i="8"/>
  <c r="J72" i="8"/>
  <c r="J45" i="8"/>
  <c r="J13" i="8"/>
  <c r="K13" i="8" s="1"/>
  <c r="J157" i="8"/>
  <c r="J137" i="8"/>
  <c r="J109" i="8"/>
  <c r="J74" i="8"/>
  <c r="J10" i="8"/>
  <c r="K10" i="8" s="1"/>
  <c r="J43" i="8"/>
  <c r="J152" i="8"/>
  <c r="J177" i="8"/>
  <c r="J142" i="8"/>
  <c r="J7" i="8"/>
  <c r="K7" i="8" s="1"/>
  <c r="J68" i="8"/>
  <c r="J147" i="8"/>
  <c r="J163" i="8"/>
  <c r="J121" i="8"/>
  <c r="J97" i="8"/>
  <c r="J58" i="8"/>
  <c r="J16" i="8"/>
  <c r="J59" i="8"/>
  <c r="J27" i="8"/>
  <c r="J128" i="8"/>
  <c r="J25" i="8"/>
  <c r="J225" i="8"/>
  <c r="J265" i="8"/>
  <c r="J213" i="8"/>
  <c r="J89" i="8"/>
  <c r="J69" i="8"/>
  <c r="J48" i="8"/>
  <c r="J26" i="8"/>
  <c r="J83" i="8"/>
  <c r="J67" i="8"/>
  <c r="J51" i="8"/>
  <c r="J35" i="8"/>
  <c r="J19" i="8"/>
  <c r="J57" i="8"/>
  <c r="J173" i="8"/>
  <c r="J237" i="8"/>
  <c r="J104" i="8"/>
  <c r="J193" i="8"/>
  <c r="J257" i="8"/>
  <c r="J201" i="8"/>
  <c r="J78" i="8"/>
  <c r="J181" i="8"/>
  <c r="J245" i="8"/>
  <c r="J185" i="8"/>
  <c r="J38" i="8"/>
  <c r="J81" i="8"/>
  <c r="J114" i="8"/>
  <c r="J143" i="8"/>
  <c r="J164" i="8"/>
  <c r="J182" i="8"/>
  <c r="J198" i="8"/>
  <c r="J214" i="8"/>
  <c r="J230" i="8"/>
  <c r="J246" i="8"/>
  <c r="J262" i="8"/>
  <c r="J30" i="8"/>
  <c r="J73" i="8"/>
  <c r="J108" i="8"/>
  <c r="J139" i="8"/>
  <c r="J160" i="8"/>
  <c r="J179" i="8"/>
  <c r="J195" i="8"/>
  <c r="J211" i="8"/>
  <c r="J227" i="8"/>
  <c r="J243" i="8"/>
  <c r="J259" i="8"/>
  <c r="J22" i="8"/>
  <c r="J65" i="8"/>
  <c r="J102" i="8"/>
  <c r="J134" i="8"/>
  <c r="J156" i="8"/>
  <c r="J176" i="8"/>
  <c r="J192" i="8"/>
  <c r="J208" i="8"/>
  <c r="J224" i="8"/>
  <c r="J240" i="8"/>
  <c r="J256" i="8"/>
  <c r="J131" i="8"/>
  <c r="J115" i="8"/>
  <c r="J99" i="8"/>
  <c r="J82" i="8"/>
  <c r="J61" i="8"/>
  <c r="J40" i="8"/>
  <c r="J18" i="8"/>
  <c r="J165" i="8"/>
  <c r="J149" i="8"/>
  <c r="J133" i="8"/>
  <c r="J117" i="8"/>
  <c r="J101" i="8"/>
  <c r="J85" i="8"/>
  <c r="J64" i="8"/>
  <c r="J42" i="8"/>
  <c r="J21" i="8"/>
  <c r="J79" i="8"/>
  <c r="J63" i="8"/>
  <c r="J47" i="8"/>
  <c r="J31" i="8"/>
  <c r="J15" i="8"/>
  <c r="J96" i="8"/>
  <c r="J189" i="8"/>
  <c r="J253" i="8"/>
  <c r="J136" i="8"/>
  <c r="J209" i="8"/>
  <c r="J46" i="8"/>
  <c r="J233" i="8"/>
  <c r="J112" i="8"/>
  <c r="J197" i="8"/>
  <c r="J261" i="8"/>
  <c r="J217" i="8"/>
  <c r="J120" i="8"/>
  <c r="H13" i="8"/>
  <c r="I14" i="8" s="1"/>
  <c r="K1" i="8" l="1"/>
  <c r="H14" i="8"/>
  <c r="H15" i="8" l="1"/>
  <c r="H16" i="8" l="1"/>
  <c r="H17" i="8" l="1"/>
  <c r="H18" i="8" l="1"/>
  <c r="H2" i="8" s="1"/>
  <c r="H19" i="8" l="1"/>
  <c r="H20" i="8" l="1"/>
  <c r="H21" i="8" l="1"/>
  <c r="H22" i="8" l="1"/>
  <c r="H23" i="8" l="1"/>
  <c r="H24" i="8" l="1"/>
  <c r="H25" i="8" l="1"/>
  <c r="H26" i="8" l="1"/>
  <c r="H27" i="8" l="1"/>
  <c r="H28" i="8" l="1"/>
  <c r="H29" i="8" l="1"/>
  <c r="H30" i="8" l="1"/>
  <c r="H31" i="8" l="1"/>
  <c r="H32" i="8" l="1"/>
  <c r="H33" i="8" l="1"/>
  <c r="H34" i="8" l="1"/>
  <c r="H35" i="8" l="1"/>
  <c r="H36" i="8" l="1"/>
  <c r="H37" i="8" l="1"/>
  <c r="H38" i="8" l="1"/>
  <c r="H39" i="8" l="1"/>
  <c r="H40" i="8" l="1"/>
  <c r="H41" i="8" l="1"/>
  <c r="H42" i="8" l="1"/>
  <c r="H43" i="8" l="1"/>
  <c r="H44" i="8" l="1"/>
  <c r="H45" i="8" l="1"/>
  <c r="H46" i="8" l="1"/>
  <c r="H47" i="8" l="1"/>
  <c r="H48" i="8" l="1"/>
  <c r="H49" i="8" l="1"/>
  <c r="H50" i="8" l="1"/>
  <c r="H51" i="8" l="1"/>
  <c r="H52" i="8" l="1"/>
  <c r="H53" i="8" l="1"/>
  <c r="H54" i="8" l="1"/>
  <c r="H55" i="8" l="1"/>
  <c r="H56" i="8" l="1"/>
  <c r="H57" i="8" l="1"/>
  <c r="H58" i="8" l="1"/>
  <c r="H59" i="8" l="1"/>
  <c r="H60" i="8" l="1"/>
  <c r="H61" i="8" l="1"/>
  <c r="H62" i="8" l="1"/>
  <c r="H63" i="8" l="1"/>
  <c r="H64" i="8" l="1"/>
  <c r="H65" i="8" l="1"/>
  <c r="H66" i="8" l="1"/>
  <c r="H67" i="8" l="1"/>
  <c r="H68" i="8" l="1"/>
  <c r="H69" i="8" l="1"/>
  <c r="H70" i="8" l="1"/>
  <c r="H71" i="8" l="1"/>
  <c r="H72" i="8" l="1"/>
  <c r="H73" i="8" l="1"/>
  <c r="H74" i="8" l="1"/>
  <c r="H75" i="8" l="1"/>
  <c r="H76" i="8" l="1"/>
  <c r="H77" i="8" l="1"/>
  <c r="H78" i="8" l="1"/>
  <c r="H79" i="8" l="1"/>
  <c r="H80" i="8" l="1"/>
  <c r="H81" i="8" l="1"/>
  <c r="H82" i="8" l="1"/>
  <c r="H83" i="8" l="1"/>
  <c r="H84" i="8" l="1"/>
  <c r="H85" i="8" l="1"/>
  <c r="H86" i="8" l="1"/>
  <c r="H87" i="8" l="1"/>
  <c r="H88" i="8" l="1"/>
  <c r="H89" i="8" l="1"/>
  <c r="H90" i="8" l="1"/>
  <c r="H91" i="8" l="1"/>
  <c r="H92" i="8" l="1"/>
  <c r="H93" i="8" l="1"/>
  <c r="H94" i="8" l="1"/>
  <c r="H95" i="8" l="1"/>
  <c r="H96" i="8" l="1"/>
  <c r="H97" i="8" l="1"/>
  <c r="H98" i="8" l="1"/>
  <c r="H99" i="8" l="1"/>
  <c r="H100" i="8" l="1"/>
  <c r="H101" i="8" l="1"/>
  <c r="H102" i="8" l="1"/>
  <c r="H103" i="8" l="1"/>
  <c r="H104" i="8" l="1"/>
  <c r="H105" i="8" l="1"/>
  <c r="H106" i="8" l="1"/>
  <c r="H107" i="8" l="1"/>
  <c r="H108" i="8" l="1"/>
  <c r="H109" i="8" l="1"/>
  <c r="H110" i="8" l="1"/>
  <c r="H111" i="8" l="1"/>
  <c r="H112" i="8" l="1"/>
  <c r="H113" i="8" l="1"/>
  <c r="H114" i="8" l="1"/>
  <c r="H115" i="8" l="1"/>
  <c r="H116" i="8" l="1"/>
  <c r="H117" i="8" l="1"/>
  <c r="H118" i="8" l="1"/>
  <c r="H119" i="8" l="1"/>
  <c r="H120" i="8" l="1"/>
  <c r="H121" i="8" l="1"/>
  <c r="H122" i="8" l="1"/>
  <c r="H123" i="8" l="1"/>
  <c r="H124" i="8" l="1"/>
  <c r="H125" i="8" l="1"/>
  <c r="H126" i="8" l="1"/>
  <c r="H127" i="8" l="1"/>
  <c r="H128" i="8" l="1"/>
  <c r="H129" i="8" l="1"/>
  <c r="H130" i="8" l="1"/>
  <c r="H131" i="8" l="1"/>
  <c r="H132" i="8" l="1"/>
  <c r="H133" i="8" l="1"/>
  <c r="H134" i="8" l="1"/>
  <c r="H135" i="8" l="1"/>
  <c r="H136" i="8" l="1"/>
  <c r="H137" i="8" l="1"/>
  <c r="H138" i="8" l="1"/>
  <c r="H139" i="8" l="1"/>
  <c r="H140" i="8" l="1"/>
  <c r="H141" i="8" l="1"/>
  <c r="H142" i="8" l="1"/>
  <c r="H143" i="8" l="1"/>
  <c r="H144" i="8" l="1"/>
  <c r="H145" i="8" l="1"/>
  <c r="H146" i="8" l="1"/>
  <c r="H147" i="8" l="1"/>
  <c r="H148" i="8" l="1"/>
  <c r="H149" i="8" l="1"/>
  <c r="H150" i="8" l="1"/>
  <c r="H151" i="8" l="1"/>
  <c r="H152" i="8" l="1"/>
  <c r="H153" i="8" l="1"/>
  <c r="H154" i="8" l="1"/>
  <c r="H155" i="8" l="1"/>
  <c r="H156" i="8" l="1"/>
  <c r="H157" i="8" l="1"/>
  <c r="H158" i="8" l="1"/>
  <c r="H159" i="8" l="1"/>
  <c r="H160" i="8" l="1"/>
  <c r="H161" i="8" l="1"/>
  <c r="H162" i="8" l="1"/>
  <c r="H163" i="8" l="1"/>
  <c r="H164" i="8" l="1"/>
  <c r="H165" i="8" l="1"/>
  <c r="H166" i="8" l="1"/>
  <c r="H167" i="8" l="1"/>
  <c r="H168" i="8" l="1"/>
  <c r="H169" i="8" l="1"/>
  <c r="H170" i="8" l="1"/>
  <c r="H171" i="8" l="1"/>
  <c r="H172" i="8" l="1"/>
  <c r="H173" i="8" l="1"/>
  <c r="H174" i="8" l="1"/>
  <c r="H175" i="8" l="1"/>
  <c r="H176" i="8" l="1"/>
  <c r="H177" i="8" l="1"/>
  <c r="H178" i="8" l="1"/>
  <c r="H179" i="8" l="1"/>
  <c r="H180" i="8" l="1"/>
  <c r="H181" i="8" l="1"/>
  <c r="H182" i="8" l="1"/>
  <c r="H183" i="8" l="1"/>
  <c r="H184" i="8" l="1"/>
  <c r="H185" i="8" l="1"/>
  <c r="H186" i="8" l="1"/>
  <c r="H187" i="8" l="1"/>
  <c r="H188" i="8" l="1"/>
  <c r="H189" i="8" l="1"/>
  <c r="H190" i="8" l="1"/>
  <c r="H191" i="8" l="1"/>
  <c r="H192" i="8" l="1"/>
  <c r="H193" i="8" l="1"/>
  <c r="H194" i="8" l="1"/>
  <c r="H195" i="8" l="1"/>
  <c r="H196" i="8" l="1"/>
  <c r="H197" i="8" l="1"/>
  <c r="H198" i="8" l="1"/>
  <c r="H199" i="8" l="1"/>
  <c r="H200" i="8" l="1"/>
  <c r="H201" i="8" l="1"/>
  <c r="H202" i="8" l="1"/>
  <c r="H203" i="8" l="1"/>
  <c r="H204" i="8" l="1"/>
  <c r="H205" i="8" l="1"/>
  <c r="H206" i="8" l="1"/>
  <c r="H207" i="8" l="1"/>
  <c r="H208" i="8" l="1"/>
  <c r="H209" i="8" l="1"/>
  <c r="H210" i="8" l="1"/>
  <c r="H211" i="8" l="1"/>
  <c r="H212" i="8" l="1"/>
  <c r="H213" i="8" l="1"/>
  <c r="H214" i="8" l="1"/>
  <c r="H215" i="8" l="1"/>
  <c r="H216" i="8" l="1"/>
  <c r="H217" i="8" l="1"/>
  <c r="H218" i="8" l="1"/>
  <c r="H219" i="8" l="1"/>
  <c r="H220" i="8" l="1"/>
  <c r="H221" i="8" l="1"/>
  <c r="H222" i="8" l="1"/>
  <c r="H223" i="8" l="1"/>
  <c r="H224" i="8" l="1"/>
  <c r="H225" i="8" l="1"/>
  <c r="H226" i="8" l="1"/>
  <c r="H227" i="8" l="1"/>
  <c r="H228" i="8" l="1"/>
  <c r="H229" i="8" l="1"/>
  <c r="H230" i="8" l="1"/>
  <c r="H231" i="8" l="1"/>
  <c r="H232" i="8" l="1"/>
  <c r="H233" i="8" l="1"/>
  <c r="H234" i="8" l="1"/>
  <c r="H235" i="8" l="1"/>
  <c r="H236" i="8" l="1"/>
  <c r="H237" i="8" l="1"/>
  <c r="H238" i="8" l="1"/>
  <c r="H239" i="8" l="1"/>
  <c r="H240" i="8" l="1"/>
  <c r="H241" i="8" l="1"/>
  <c r="H242" i="8" l="1"/>
  <c r="H243" i="8" l="1"/>
  <c r="H244" i="8" l="1"/>
  <c r="H245" i="8" l="1"/>
  <c r="H246" i="8" l="1"/>
  <c r="H247" i="8" l="1"/>
  <c r="H248" i="8" l="1"/>
  <c r="H249" i="8" l="1"/>
  <c r="H250" i="8" l="1"/>
  <c r="H251" i="8" l="1"/>
  <c r="H252" i="8" l="1"/>
  <c r="H253" i="8" l="1"/>
  <c r="H254" i="8" l="1"/>
  <c r="H255" i="8" l="1"/>
  <c r="H256" i="8" l="1"/>
  <c r="H257" i="8" l="1"/>
  <c r="H258" i="8" l="1"/>
  <c r="H259" i="8" l="1"/>
  <c r="H260" i="8" l="1"/>
  <c r="H261" i="8" l="1"/>
  <c r="H262" i="8" l="1"/>
  <c r="H263" i="8" l="1"/>
  <c r="H264" i="8" l="1"/>
  <c r="H265" i="8" l="1"/>
  <c r="H266" i="8" l="1"/>
  <c r="K14" i="8"/>
  <c r="I15" i="8"/>
  <c r="I16" i="8" s="1"/>
  <c r="K15" i="8" l="1"/>
  <c r="I17" i="8"/>
  <c r="I18" i="8" s="1"/>
  <c r="K16" i="8"/>
  <c r="K17" i="8" l="1"/>
  <c r="I19" i="8"/>
  <c r="K18" i="8"/>
  <c r="I20" i="8" l="1"/>
  <c r="K19" i="8"/>
  <c r="I21" i="8" l="1"/>
  <c r="K20" i="8"/>
  <c r="K21" i="8" l="1"/>
  <c r="I22" i="8"/>
  <c r="I23" i="8" l="1"/>
  <c r="K22" i="8"/>
  <c r="I24" i="8" l="1"/>
  <c r="K23" i="8"/>
  <c r="I25" i="8" l="1"/>
  <c r="K24" i="8"/>
  <c r="K25" i="8" l="1"/>
  <c r="I26" i="8"/>
  <c r="I27" i="8" l="1"/>
  <c r="K26" i="8"/>
  <c r="I28" i="8" l="1"/>
  <c r="K27" i="8"/>
  <c r="I29" i="8" l="1"/>
  <c r="K28" i="8"/>
  <c r="K29" i="8" l="1"/>
  <c r="I30" i="8"/>
  <c r="I31" i="8" l="1"/>
  <c r="K30" i="8"/>
  <c r="I32" i="8" l="1"/>
  <c r="K31" i="8"/>
  <c r="I33" i="8" l="1"/>
  <c r="K32" i="8"/>
  <c r="K33" i="8" l="1"/>
  <c r="I34" i="8"/>
  <c r="I35" i="8" l="1"/>
  <c r="K34" i="8"/>
  <c r="I36" i="8" l="1"/>
  <c r="K35" i="8"/>
  <c r="I37" i="8" l="1"/>
  <c r="K36" i="8"/>
  <c r="K37" i="8" l="1"/>
  <c r="I38" i="8"/>
  <c r="I39" i="8" l="1"/>
  <c r="K38" i="8"/>
  <c r="I40" i="8" l="1"/>
  <c r="K39" i="8"/>
  <c r="I41" i="8" l="1"/>
  <c r="K40" i="8"/>
  <c r="K41" i="8" l="1"/>
  <c r="I42" i="8"/>
  <c r="I43" i="8" l="1"/>
  <c r="K42" i="8"/>
  <c r="I44" i="8" l="1"/>
  <c r="K43" i="8"/>
  <c r="I45" i="8" l="1"/>
  <c r="K44" i="8"/>
  <c r="K45" i="8" l="1"/>
  <c r="I46" i="8"/>
  <c r="I47" i="8" l="1"/>
  <c r="K46" i="8"/>
  <c r="I48" i="8" l="1"/>
  <c r="K47" i="8"/>
  <c r="I49" i="8" l="1"/>
  <c r="K48" i="8"/>
  <c r="K49" i="8" l="1"/>
  <c r="I50" i="8"/>
  <c r="I51" i="8" l="1"/>
  <c r="K50" i="8"/>
  <c r="K51" i="8" l="1"/>
  <c r="I52" i="8"/>
  <c r="I53" i="8" l="1"/>
  <c r="K52" i="8"/>
  <c r="I54" i="8" l="1"/>
  <c r="K53" i="8"/>
  <c r="I55" i="8" l="1"/>
  <c r="K54" i="8"/>
  <c r="I56" i="8" l="1"/>
  <c r="K55" i="8"/>
  <c r="I57" i="8" l="1"/>
  <c r="K56" i="8"/>
  <c r="K57" i="8" l="1"/>
  <c r="I58" i="8"/>
  <c r="I59" i="8" l="1"/>
  <c r="K58" i="8"/>
  <c r="I60" i="8" l="1"/>
  <c r="K59" i="8"/>
  <c r="I61" i="8" l="1"/>
  <c r="K60" i="8"/>
  <c r="K61" i="8" l="1"/>
  <c r="I62" i="8"/>
  <c r="I63" i="8" l="1"/>
  <c r="K62" i="8"/>
  <c r="I64" i="8" l="1"/>
  <c r="K63" i="8"/>
  <c r="I65" i="8" l="1"/>
  <c r="K64" i="8"/>
  <c r="K65" i="8" l="1"/>
  <c r="I66" i="8"/>
  <c r="I67" i="8" l="1"/>
  <c r="K66" i="8"/>
  <c r="I68" i="8" l="1"/>
  <c r="K67" i="8"/>
  <c r="I69" i="8" l="1"/>
  <c r="K68" i="8"/>
  <c r="K69" i="8" l="1"/>
  <c r="I70" i="8"/>
  <c r="I71" i="8" l="1"/>
  <c r="K70" i="8"/>
  <c r="I72" i="8" l="1"/>
  <c r="K71" i="8"/>
  <c r="I73" i="8" l="1"/>
  <c r="K72" i="8"/>
  <c r="K73" i="8" l="1"/>
  <c r="I74" i="8"/>
  <c r="I75" i="8" l="1"/>
  <c r="K74" i="8"/>
  <c r="I76" i="8" l="1"/>
  <c r="K75" i="8"/>
  <c r="I77" i="8" l="1"/>
  <c r="K76" i="8"/>
  <c r="K77" i="8" l="1"/>
  <c r="I78" i="8"/>
  <c r="I79" i="8" l="1"/>
  <c r="K78" i="8"/>
  <c r="I80" i="8" l="1"/>
  <c r="K79" i="8"/>
  <c r="I81" i="8" l="1"/>
  <c r="K80" i="8"/>
  <c r="K81" i="8" l="1"/>
  <c r="I82" i="8"/>
  <c r="I83" i="8" l="1"/>
  <c r="K82" i="8"/>
  <c r="I84" i="8" l="1"/>
  <c r="K83" i="8"/>
  <c r="I85" i="8" l="1"/>
  <c r="K84" i="8"/>
  <c r="K85" i="8" l="1"/>
  <c r="I86" i="8"/>
  <c r="I87" i="8" l="1"/>
  <c r="K86" i="8"/>
  <c r="I88" i="8" l="1"/>
  <c r="K87" i="8"/>
  <c r="I89" i="8" l="1"/>
  <c r="K88" i="8"/>
  <c r="K89" i="8" l="1"/>
  <c r="I90" i="8"/>
  <c r="I91" i="8" l="1"/>
  <c r="K90" i="8"/>
  <c r="K91" i="8" l="1"/>
  <c r="I92" i="8"/>
  <c r="I93" i="8" l="1"/>
  <c r="K92" i="8"/>
  <c r="K93" i="8" l="1"/>
  <c r="I94" i="8"/>
  <c r="I95" i="8" l="1"/>
  <c r="K94" i="8"/>
  <c r="I96" i="8" l="1"/>
  <c r="K95" i="8"/>
  <c r="I97" i="8" l="1"/>
  <c r="K96" i="8"/>
  <c r="K97" i="8" l="1"/>
  <c r="I98" i="8"/>
  <c r="K98" i="8" l="1"/>
  <c r="I99" i="8"/>
  <c r="K99" i="8" l="1"/>
  <c r="I100" i="8"/>
  <c r="K100" i="8" l="1"/>
  <c r="I101" i="8"/>
  <c r="K101" i="8" l="1"/>
  <c r="I102" i="8"/>
  <c r="K102" i="8" l="1"/>
  <c r="I103" i="8"/>
  <c r="K103" i="8" l="1"/>
  <c r="I104" i="8"/>
  <c r="K104" i="8" l="1"/>
  <c r="I105" i="8"/>
  <c r="K105" i="8" l="1"/>
  <c r="I106" i="8"/>
  <c r="K106" i="8" l="1"/>
  <c r="I107" i="8"/>
  <c r="K107" i="8" l="1"/>
  <c r="I108" i="8"/>
  <c r="K108" i="8" l="1"/>
  <c r="I109" i="8"/>
  <c r="K109" i="8" l="1"/>
  <c r="I110" i="8"/>
  <c r="K110" i="8" l="1"/>
  <c r="I111" i="8"/>
  <c r="K111" i="8" l="1"/>
  <c r="I112" i="8"/>
  <c r="K112" i="8" l="1"/>
  <c r="I113" i="8"/>
  <c r="K113" i="8" l="1"/>
  <c r="I114" i="8"/>
  <c r="K114" i="8" l="1"/>
  <c r="I115" i="8"/>
  <c r="K115" i="8" l="1"/>
  <c r="I116" i="8"/>
  <c r="K116" i="8" l="1"/>
  <c r="I117" i="8"/>
  <c r="K117" i="8" l="1"/>
  <c r="I118" i="8"/>
  <c r="K118" i="8" l="1"/>
  <c r="I119" i="8"/>
  <c r="K119" i="8" l="1"/>
  <c r="I120" i="8"/>
  <c r="K120" i="8" l="1"/>
  <c r="I121" i="8"/>
  <c r="K121" i="8" l="1"/>
  <c r="I122" i="8"/>
  <c r="K122" i="8" l="1"/>
  <c r="I123" i="8"/>
  <c r="K123" i="8" l="1"/>
  <c r="I124" i="8"/>
  <c r="K124" i="8" l="1"/>
  <c r="I125" i="8"/>
  <c r="K125" i="8" l="1"/>
  <c r="I126" i="8"/>
  <c r="K126" i="8" l="1"/>
  <c r="I127" i="8"/>
  <c r="K127" i="8" l="1"/>
  <c r="I128" i="8"/>
  <c r="K128" i="8" l="1"/>
  <c r="I129" i="8"/>
  <c r="K129" i="8" l="1"/>
  <c r="I130" i="8"/>
  <c r="K130" i="8" l="1"/>
  <c r="I131" i="8"/>
  <c r="K131" i="8" l="1"/>
  <c r="I132" i="8"/>
  <c r="K132" i="8" l="1"/>
  <c r="I133" i="8"/>
  <c r="K133" i="8" l="1"/>
  <c r="I134" i="8"/>
  <c r="K134" i="8" l="1"/>
  <c r="I135" i="8"/>
  <c r="K135" i="8" l="1"/>
  <c r="I136" i="8"/>
  <c r="K136" i="8" l="1"/>
  <c r="I137" i="8"/>
  <c r="K137" i="8" l="1"/>
  <c r="I138" i="8"/>
  <c r="K138" i="8" l="1"/>
  <c r="I139" i="8"/>
  <c r="K139" i="8" l="1"/>
  <c r="I140" i="8"/>
  <c r="K140" i="8" l="1"/>
  <c r="I141" i="8"/>
  <c r="K141" i="8" l="1"/>
  <c r="I142" i="8"/>
  <c r="K142" i="8" l="1"/>
  <c r="I143" i="8"/>
  <c r="K143" i="8" l="1"/>
  <c r="I144" i="8"/>
  <c r="K144" i="8" l="1"/>
  <c r="I145" i="8"/>
  <c r="K145" i="8" l="1"/>
  <c r="I146" i="8"/>
  <c r="K146" i="8" l="1"/>
  <c r="I147" i="8"/>
  <c r="K147" i="8" l="1"/>
  <c r="I148" i="8"/>
  <c r="K148" i="8" l="1"/>
  <c r="I149" i="8"/>
  <c r="K149" i="8" l="1"/>
  <c r="I150" i="8"/>
  <c r="K150" i="8" l="1"/>
  <c r="I151" i="8"/>
  <c r="K151" i="8" l="1"/>
  <c r="I152" i="8"/>
  <c r="K152" i="8" l="1"/>
  <c r="I153" i="8"/>
  <c r="K153" i="8" l="1"/>
  <c r="I154" i="8"/>
  <c r="K154" i="8" l="1"/>
  <c r="I155" i="8"/>
  <c r="K155" i="8" l="1"/>
  <c r="I156" i="8"/>
  <c r="K156" i="8" l="1"/>
  <c r="I157" i="8"/>
  <c r="K157" i="8" l="1"/>
  <c r="I158" i="8"/>
  <c r="K158" i="8" l="1"/>
  <c r="I159" i="8"/>
  <c r="K159" i="8" l="1"/>
  <c r="I160" i="8"/>
  <c r="K160" i="8" l="1"/>
  <c r="I161" i="8"/>
  <c r="K161" i="8" l="1"/>
  <c r="I162" i="8"/>
  <c r="K162" i="8" l="1"/>
  <c r="I163" i="8"/>
  <c r="K163" i="8" l="1"/>
  <c r="I164" i="8"/>
  <c r="K164" i="8" l="1"/>
  <c r="I165" i="8"/>
  <c r="K165" i="8" l="1"/>
  <c r="I166" i="8"/>
  <c r="K166" i="8" l="1"/>
  <c r="I167" i="8"/>
  <c r="K167" i="8" l="1"/>
  <c r="I168" i="8"/>
  <c r="K168" i="8" l="1"/>
  <c r="I169" i="8"/>
  <c r="K169" i="8" l="1"/>
  <c r="I170" i="8"/>
  <c r="K170" i="8" l="1"/>
  <c r="I171" i="8"/>
  <c r="K171" i="8" l="1"/>
  <c r="I172" i="8"/>
  <c r="K172" i="8" l="1"/>
  <c r="I173" i="8"/>
  <c r="K173" i="8" l="1"/>
  <c r="I174" i="8"/>
  <c r="K174" i="8" l="1"/>
  <c r="I175" i="8"/>
  <c r="K175" i="8" l="1"/>
  <c r="I176" i="8"/>
  <c r="K176" i="8" l="1"/>
  <c r="I177" i="8"/>
  <c r="K177" i="8" l="1"/>
  <c r="I178" i="8"/>
  <c r="K178" i="8" l="1"/>
  <c r="I179" i="8"/>
  <c r="K179" i="8" l="1"/>
  <c r="I180" i="8"/>
  <c r="K180" i="8" l="1"/>
  <c r="I181" i="8"/>
  <c r="K181" i="8" l="1"/>
  <c r="I182" i="8"/>
  <c r="K182" i="8" l="1"/>
  <c r="I183" i="8"/>
  <c r="K183" i="8" l="1"/>
  <c r="I184" i="8"/>
  <c r="K184" i="8" l="1"/>
  <c r="I185" i="8"/>
  <c r="K185" i="8" l="1"/>
  <c r="I186" i="8"/>
  <c r="K186" i="8" l="1"/>
  <c r="I187" i="8"/>
  <c r="K187" i="8" l="1"/>
  <c r="I188" i="8"/>
  <c r="K188" i="8" l="1"/>
  <c r="I189" i="8"/>
  <c r="K189" i="8" l="1"/>
  <c r="I190" i="8"/>
  <c r="K190" i="8" l="1"/>
  <c r="I191" i="8"/>
  <c r="K191" i="8" l="1"/>
  <c r="I192" i="8"/>
  <c r="K192" i="8" l="1"/>
  <c r="I193" i="8"/>
  <c r="K193" i="8" l="1"/>
  <c r="I194" i="8"/>
  <c r="K194" i="8" l="1"/>
  <c r="I195" i="8"/>
  <c r="K195" i="8" l="1"/>
  <c r="I196" i="8"/>
  <c r="K196" i="8" l="1"/>
  <c r="I197" i="8"/>
  <c r="K197" i="8" l="1"/>
  <c r="I198" i="8"/>
  <c r="K198" i="8" l="1"/>
  <c r="I199" i="8"/>
  <c r="K199" i="8" l="1"/>
  <c r="I200" i="8"/>
  <c r="K200" i="8" l="1"/>
  <c r="I201" i="8"/>
  <c r="K201" i="8" l="1"/>
  <c r="I202" i="8"/>
  <c r="K202" i="8" l="1"/>
  <c r="I203" i="8"/>
  <c r="K203" i="8" l="1"/>
  <c r="I204" i="8"/>
  <c r="K204" i="8" l="1"/>
  <c r="I205" i="8"/>
  <c r="K205" i="8" l="1"/>
  <c r="I206" i="8"/>
  <c r="K206" i="8" l="1"/>
  <c r="I207" i="8"/>
  <c r="K207" i="8" l="1"/>
  <c r="I208" i="8"/>
  <c r="K208" i="8" l="1"/>
  <c r="I209" i="8"/>
  <c r="K209" i="8" l="1"/>
  <c r="I210" i="8"/>
  <c r="K210" i="8" l="1"/>
  <c r="I211" i="8"/>
  <c r="K211" i="8" l="1"/>
  <c r="I212" i="8"/>
  <c r="K212" i="8" l="1"/>
  <c r="I213" i="8"/>
  <c r="K213" i="8" l="1"/>
  <c r="I214" i="8"/>
  <c r="K214" i="8" l="1"/>
  <c r="I215" i="8"/>
  <c r="K215" i="8" l="1"/>
  <c r="I216" i="8"/>
  <c r="K216" i="8" l="1"/>
  <c r="I217" i="8"/>
  <c r="K217" i="8" l="1"/>
  <c r="I218" i="8"/>
  <c r="K218" i="8" l="1"/>
  <c r="I219" i="8"/>
  <c r="K219" i="8" l="1"/>
  <c r="I220" i="8"/>
  <c r="K220" i="8" l="1"/>
  <c r="I221" i="8"/>
  <c r="K221" i="8" l="1"/>
  <c r="I222" i="8"/>
  <c r="K222" i="8" l="1"/>
  <c r="I223" i="8"/>
  <c r="K223" i="8" l="1"/>
  <c r="I224" i="8"/>
  <c r="K224" i="8" l="1"/>
  <c r="I225" i="8"/>
  <c r="K225" i="8" l="1"/>
  <c r="I226" i="8"/>
  <c r="K226" i="8" l="1"/>
  <c r="I227" i="8"/>
  <c r="K227" i="8" l="1"/>
  <c r="I228" i="8"/>
  <c r="K228" i="8" l="1"/>
  <c r="I229" i="8"/>
  <c r="K229" i="8" l="1"/>
  <c r="I230" i="8"/>
  <c r="K230" i="8" l="1"/>
  <c r="I231" i="8"/>
  <c r="K231" i="8" l="1"/>
  <c r="I232" i="8"/>
  <c r="K232" i="8" l="1"/>
  <c r="I233" i="8"/>
  <c r="K233" i="8" l="1"/>
  <c r="I234" i="8"/>
  <c r="K234" i="8" l="1"/>
  <c r="I235" i="8"/>
  <c r="K235" i="8" l="1"/>
  <c r="I236" i="8"/>
  <c r="K236" i="8" l="1"/>
  <c r="I237" i="8"/>
  <c r="K237" i="8" l="1"/>
  <c r="I238" i="8"/>
  <c r="K238" i="8" l="1"/>
  <c r="I239" i="8"/>
  <c r="K239" i="8" l="1"/>
  <c r="I240" i="8"/>
  <c r="K240" i="8" l="1"/>
  <c r="I241" i="8"/>
  <c r="K241" i="8" l="1"/>
  <c r="I242" i="8"/>
  <c r="K242" i="8" l="1"/>
  <c r="I243" i="8"/>
  <c r="K243" i="8" l="1"/>
  <c r="I244" i="8"/>
  <c r="K244" i="8" l="1"/>
  <c r="I245" i="8"/>
  <c r="K245" i="8" l="1"/>
  <c r="I246" i="8"/>
  <c r="K246" i="8" l="1"/>
  <c r="I247" i="8"/>
  <c r="K247" i="8" l="1"/>
  <c r="I248" i="8"/>
  <c r="K248" i="8" l="1"/>
  <c r="I249" i="8"/>
  <c r="K249" i="8" l="1"/>
  <c r="I250" i="8"/>
  <c r="K250" i="8" l="1"/>
  <c r="I251" i="8"/>
  <c r="K251" i="8" l="1"/>
  <c r="I252" i="8"/>
  <c r="K252" i="8" l="1"/>
  <c r="I253" i="8"/>
  <c r="K253" i="8" l="1"/>
  <c r="I254" i="8"/>
  <c r="K254" i="8" l="1"/>
  <c r="I255" i="8"/>
  <c r="K255" i="8" l="1"/>
  <c r="I256" i="8"/>
  <c r="K256" i="8" l="1"/>
  <c r="I257" i="8"/>
  <c r="K257" i="8" l="1"/>
  <c r="I258" i="8"/>
  <c r="K258" i="8" l="1"/>
  <c r="I259" i="8"/>
  <c r="K259" i="8" l="1"/>
  <c r="I260" i="8"/>
  <c r="K260" i="8" l="1"/>
  <c r="I261" i="8"/>
  <c r="K261" i="8" l="1"/>
  <c r="I262" i="8"/>
  <c r="K262" i="8" l="1"/>
  <c r="I263" i="8"/>
  <c r="K263" i="8" l="1"/>
  <c r="I264" i="8"/>
  <c r="K264" i="8" l="1"/>
  <c r="I265" i="8"/>
  <c r="K265" i="8" l="1"/>
  <c r="I266" i="8"/>
  <c r="K266" i="8" s="1"/>
</calcChain>
</file>

<file path=xl/sharedStrings.xml><?xml version="1.0" encoding="utf-8"?>
<sst xmlns="http://schemas.openxmlformats.org/spreadsheetml/2006/main" count="2256" uniqueCount="117">
  <si>
    <t>County</t>
  </si>
  <si>
    <t>Level_Of_Transmission</t>
  </si>
  <si>
    <t>Date_Updated</t>
  </si>
  <si>
    <t>Infection_Rate</t>
  </si>
  <si>
    <t>Vaccinated</t>
  </si>
  <si>
    <t>Vaccinated_Percent</t>
  </si>
  <si>
    <t>Over_18_Vacc</t>
  </si>
  <si>
    <t>Over_18_Vacc_Percent</t>
  </si>
  <si>
    <t>Over_65_Vacc</t>
  </si>
  <si>
    <t>Over_65_Vacc_Percent</t>
  </si>
  <si>
    <t>Total_Population</t>
  </si>
  <si>
    <t>Population_Density</t>
  </si>
  <si>
    <t>Avg_HH_Size</t>
  </si>
  <si>
    <t>Percent_Uninsured</t>
  </si>
  <si>
    <t>Poverty Rate</t>
  </si>
  <si>
    <t>Over_65</t>
  </si>
  <si>
    <t>Alachua</t>
  </si>
  <si>
    <t>high</t>
  </si>
  <si>
    <t>Baker</t>
  </si>
  <si>
    <t>substantial</t>
  </si>
  <si>
    <t>Bay</t>
  </si>
  <si>
    <t>Bradford</t>
  </si>
  <si>
    <t>Brevard</t>
  </si>
  <si>
    <t>Broward</t>
  </si>
  <si>
    <t>Calhoun</t>
  </si>
  <si>
    <t>moderate</t>
  </si>
  <si>
    <t>suppressed</t>
  </si>
  <si>
    <t>Charlotte</t>
  </si>
  <si>
    <t>Citrus</t>
  </si>
  <si>
    <t>Clay</t>
  </si>
  <si>
    <t>Collier</t>
  </si>
  <si>
    <t>Columbia</t>
  </si>
  <si>
    <t>DeSoto</t>
  </si>
  <si>
    <t>Dixie</t>
  </si>
  <si>
    <t>Duval</t>
  </si>
  <si>
    <t>Escambia</t>
  </si>
  <si>
    <t>Flagler</t>
  </si>
  <si>
    <t>Franklin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</si>
  <si>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</si>
  <si>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</si>
  <si>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</si>
  <si>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</si>
  <si>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</si>
  <si>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</si>
  <si>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</si>
  <si>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</si>
  <si>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</si>
  <si>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</si>
  <si>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</si>
  <si>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</si>
  <si>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Jackson</t>
  </si>
  <si>
    <t>Jefferson</t>
  </si>
  <si>
    <t>Lafayette</t>
  </si>
  <si>
    <t>Lake</t>
  </si>
  <si>
    <t>Lee</t>
  </si>
  <si>
    <t>Leon</t>
  </si>
  <si>
    <t>Levy</t>
  </si>
  <si>
    <t>Liberty</t>
  </si>
  <si>
    <t>Madison</t>
  </si>
  <si>
    <t>Manatee</t>
  </si>
  <si>
    <t>Marion</t>
  </si>
  <si>
    <t>Martin</t>
  </si>
  <si>
    <t>Miami-Dade</t>
  </si>
  <si>
    <t>Monroe</t>
  </si>
  <si>
    <t>Nassau</t>
  </si>
  <si>
    <t>Okaloosa</t>
  </si>
  <si>
    <t>Okeechobee</t>
  </si>
  <si>
    <t>Orange</t>
  </si>
  <si>
    <t>Osceola</t>
  </si>
  <si>
    <t>Palm Beach</t>
  </si>
  <si>
    <t>Pasco</t>
  </si>
  <si>
    <t>Pinellas</t>
  </si>
  <si>
    <t>Polk</t>
  </si>
  <si>
    <t>Putnam</t>
  </si>
  <si>
    <t>Santa Rosa</t>
  </si>
  <si>
    <t>Sarasota</t>
  </si>
  <si>
    <t>Seminole</t>
  </si>
  <si>
    <t>St. Johns</t>
  </si>
  <si>
    <t>St. Lucie</t>
  </si>
  <si>
    <t>Sumter</t>
  </si>
  <si>
    <t>Suwannee</t>
  </si>
  <si>
    <t>Taylor</t>
  </si>
  <si>
    <t>Union</t>
  </si>
  <si>
    <t>Volusia</t>
  </si>
  <si>
    <t>Wakulla</t>
  </si>
  <si>
    <t>Walton</t>
  </si>
  <si>
    <t>Washington</t>
  </si>
  <si>
    <t>© 2021 GitHub, Inc.</t>
  </si>
  <si>
    <t>Date</t>
  </si>
  <si>
    <t>County:</t>
  </si>
  <si>
    <t>Population:</t>
  </si>
  <si>
    <t>Population</t>
  </si>
  <si>
    <t>Poverty_Rate</t>
  </si>
  <si>
    <t>Uninsured_Rate</t>
  </si>
  <si>
    <t>ID</t>
  </si>
  <si>
    <t>GDP</t>
  </si>
  <si>
    <t>Pop_Density</t>
  </si>
  <si>
    <t>Total_Vaccinated</t>
  </si>
  <si>
    <t>Over 65</t>
  </si>
  <si>
    <t>Over 18 Under 65</t>
  </si>
  <si>
    <t>Under 18</t>
  </si>
  <si>
    <t>% Vaccinated</t>
  </si>
  <si>
    <t>Days to HIT:</t>
  </si>
  <si>
    <t>HIT Target:</t>
  </si>
  <si>
    <t>HIT%:</t>
  </si>
  <si>
    <t>Vac_Per_Day</t>
  </si>
  <si>
    <t>Projected</t>
  </si>
  <si>
    <t>SDMA</t>
  </si>
  <si>
    <t>HIT Target</t>
  </si>
  <si>
    <t>On_Off</t>
  </si>
  <si>
    <t>Max:</t>
  </si>
  <si>
    <t>100% Vaccination:</t>
  </si>
  <si>
    <t>Vacc Rate</t>
  </si>
  <si>
    <t>HIT Days</t>
  </si>
  <si>
    <t>HIT Date</t>
  </si>
  <si>
    <t>low</t>
  </si>
  <si>
    <t>Current Vaccinated: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</si>
</sst>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mm\.dd\.yy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C9D1D9"/>
      <name val="Segoe UI"/>
      <family val="2"/>
    </font>
    <font>
      <sz val="9"/>
      <color theme="1"/>
      <name val="Segoe UI"/>
      <family val="2"/>
    </font>
    <font>
      <sz val="9"/>
      <color theme="1"/>
      <name val="Segoe UI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56">
    <xf numFmtId="0" fontId="0" fillId="0" borderId="0" xfId="0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0" borderId="0" xfId="0" applyNumberFormat="1" applyFont="1" applyAlignment="1">
      <alignment horizontal="left" vertical="center"/>
    </xf>
    <xf numFmtId="3" fontId="4" fillId="0" borderId="0" xfId="0" applyNumberFormat="1" applyFont="1" applyAlignment="1">
      <alignment horizontal="left" vertical="center"/>
    </xf>
    <xf numFmtId="10" fontId="4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horizontal="left" vertical="center"/>
    </xf>
    <xf numFmtId="4" fontId="4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 wrapText="1" indent="2"/>
    </xf>
    <xf numFmtId="0" fontId="1" fillId="0" borderId="0" xfId="1"/>
    <xf numFmtId="14" fontId="1" fillId="0" borderId="0" xfId="1" applyNumberFormat="1"/>
    <xf numFmtId="3" fontId="1" fillId="0" borderId="0" xfId="1" applyNumberFormat="1"/>
    <xf numFmtId="10" fontId="1" fillId="0" borderId="0" xfId="1" applyNumberFormat="1"/>
    <xf numFmtId="4" fontId="1" fillId="0" borderId="0" xfId="1" applyNumberFormat="1"/>
    <xf numFmtId="9" fontId="1" fillId="0" borderId="0" xfId="1" applyNumberFormat="1"/>
    <xf numFmtId="0" fontId="5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Fill="1"/>
    <xf numFmtId="0" fontId="3" fillId="0" borderId="0" xfId="0" applyFont="1" applyFill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3" fontId="3" fillId="0" borderId="0" xfId="0" applyNumberFormat="1" applyFont="1" applyFill="1" applyAlignment="1">
      <alignment horizontal="left" vertical="center"/>
    </xf>
    <xf numFmtId="10" fontId="3" fillId="0" borderId="0" xfId="0" applyNumberFormat="1" applyFont="1" applyFill="1" applyAlignment="1">
      <alignment horizontal="left" vertical="center"/>
    </xf>
    <xf numFmtId="9" fontId="3" fillId="0" borderId="0" xfId="0" applyNumberFormat="1" applyFont="1" applyFill="1" applyAlignment="1">
      <alignment horizontal="left" vertical="center"/>
    </xf>
    <xf numFmtId="4" fontId="3" fillId="0" borderId="0" xfId="0" applyNumberFormat="1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3" borderId="1" xfId="1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7" fillId="0" borderId="0" xfId="2" applyNumberFormat="1" applyFont="1" applyAlignment="1">
      <alignment horizontal="right" vertical="center"/>
    </xf>
    <xf numFmtId="0" fontId="8" fillId="4" borderId="0" xfId="0" applyFont="1" applyFill="1" applyAlignment="1">
      <alignment horizontal="center" vertical="center"/>
    </xf>
    <xf numFmtId="16" fontId="0" fillId="0" borderId="1" xfId="0" applyNumberFormat="1" applyFont="1" applyBorder="1" applyAlignment="1">
      <alignment horizontal="center" vertical="center"/>
    </xf>
    <xf numFmtId="16" fontId="0" fillId="5" borderId="1" xfId="0" applyNumberFormat="1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165" fontId="0" fillId="5" borderId="1" xfId="3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0" xfId="0" applyNumberFormat="1" applyFont="1" applyAlignment="1">
      <alignment vertical="center"/>
    </xf>
    <xf numFmtId="0" fontId="7" fillId="0" borderId="2" xfId="0" applyFont="1" applyBorder="1" applyAlignment="1">
      <alignment horizontal="right" vertical="center"/>
    </xf>
    <xf numFmtId="164" fontId="7" fillId="0" borderId="3" xfId="2" applyNumberFormat="1" applyFont="1" applyBorder="1" applyAlignment="1">
      <alignment horizontal="right" vertical="center"/>
    </xf>
    <xf numFmtId="165" fontId="0" fillId="0" borderId="4" xfId="3" applyNumberFormat="1" applyFont="1" applyBorder="1" applyAlignment="1">
      <alignment horizontal="right" vertical="center"/>
    </xf>
    <xf numFmtId="164" fontId="0" fillId="0" borderId="0" xfId="0" applyNumberFormat="1" applyFont="1" applyAlignment="1">
      <alignment vertical="center"/>
    </xf>
    <xf numFmtId="10" fontId="0" fillId="3" borderId="1" xfId="0" applyNumberForma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3" fontId="0" fillId="7" borderId="1" xfId="0" applyNumberFormat="1" applyFill="1" applyBorder="1" applyAlignment="1">
      <alignment horizontal="center" vertical="center"/>
    </xf>
    <xf numFmtId="10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</cellXfs>
  <cellStyles count="4">
    <cellStyle name="Comma" xfId="2" builtinId="3"/>
    <cellStyle name="Normal" xfId="0" builtinId="0"/>
    <cellStyle name="Normal 2" xfId="1" xr:uid="{00000000-0005-0000-0000-000002000000}"/>
    <cellStyle name="Percent" xfId="3" builtinId="5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worksheet" Target="worksheets/sheet8.xml"/><Relationship Id="rId18" Type="http://schemas.openxmlformats.org/officeDocument/2006/relationships/worksheet" Target="worksheets/sheet13.xml"/><Relationship Id="rId3" Type="http://schemas.openxmlformats.org/officeDocument/2006/relationships/chartsheet" Target="chartsheets/sheet1.xml"/><Relationship Id="rId21" Type="http://schemas.openxmlformats.org/officeDocument/2006/relationships/worksheet" Target="worksheets/sheet16.xml"/><Relationship Id="rId7" Type="http://schemas.openxmlformats.org/officeDocument/2006/relationships/chartsheet" Target="chartsheets/sheet4.xml"/><Relationship Id="rId12" Type="http://schemas.openxmlformats.org/officeDocument/2006/relationships/worksheet" Target="worksheets/sheet7.xml"/><Relationship Id="rId17" Type="http://schemas.openxmlformats.org/officeDocument/2006/relationships/worksheet" Target="worksheets/sheet1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0" Type="http://schemas.openxmlformats.org/officeDocument/2006/relationships/worksheet" Target="worksheets/sheet15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worksheet" Target="worksheets/sheet6.xml"/><Relationship Id="rId24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5" Type="http://schemas.openxmlformats.org/officeDocument/2006/relationships/worksheet" Target="worksheets/sheet10.xml"/><Relationship Id="rId23" Type="http://schemas.openxmlformats.org/officeDocument/2006/relationships/styles" Target="styles.xml"/><Relationship Id="rId10" Type="http://schemas.openxmlformats.org/officeDocument/2006/relationships/worksheet" Target="worksheets/sheet5.xml"/><Relationship Id="rId19" Type="http://schemas.openxmlformats.org/officeDocument/2006/relationships/worksheet" Target="worksheets/sheet14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4.xml"/><Relationship Id="rId14" Type="http://schemas.openxmlformats.org/officeDocument/2006/relationships/worksheet" Target="worksheets/sheet9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26401026436895E-2"/>
          <c:y val="2.5786498736129194E-2"/>
          <c:w val="0.87229092645628237"/>
          <c:h val="0.839444752504528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Summary!$E$5</c:f>
              <c:strCache>
                <c:ptCount val="1"/>
                <c:pt idx="0">
                  <c:v>Total_Vaccinated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numRef>
              <c:f>Summary!$A$6:$A$266</c:f>
              <c:numCache>
                <c:formatCode>d\-mmm</c:formatCode>
                <c:ptCount val="261"/>
                <c:pt idx="0">
                  <c:v>44301</c:v>
                </c:pt>
                <c:pt idx="1">
                  <c:v>44302</c:v>
                </c:pt>
                <c:pt idx="2">
                  <c:v>44303</c:v>
                </c:pt>
                <c:pt idx="3">
                  <c:v>44304</c:v>
                </c:pt>
                <c:pt idx="4">
                  <c:v>44305</c:v>
                </c:pt>
                <c:pt idx="5">
                  <c:v>44306</c:v>
                </c:pt>
                <c:pt idx="6">
                  <c:v>44307</c:v>
                </c:pt>
                <c:pt idx="7">
                  <c:v>44308</c:v>
                </c:pt>
                <c:pt idx="8">
                  <c:v>44309</c:v>
                </c:pt>
                <c:pt idx="9">
                  <c:v>44310</c:v>
                </c:pt>
                <c:pt idx="10">
                  <c:v>44311</c:v>
                </c:pt>
                <c:pt idx="11">
                  <c:v>44312</c:v>
                </c:pt>
                <c:pt idx="12">
                  <c:v>44313</c:v>
                </c:pt>
                <c:pt idx="13">
                  <c:v>44314</c:v>
                </c:pt>
                <c:pt idx="14">
                  <c:v>44315</c:v>
                </c:pt>
                <c:pt idx="15">
                  <c:v>44316</c:v>
                </c:pt>
                <c:pt idx="16">
                  <c:v>44317</c:v>
                </c:pt>
                <c:pt idx="17">
                  <c:v>44318</c:v>
                </c:pt>
                <c:pt idx="18">
                  <c:v>44319</c:v>
                </c:pt>
                <c:pt idx="19">
                  <c:v>44320</c:v>
                </c:pt>
                <c:pt idx="20">
                  <c:v>44321</c:v>
                </c:pt>
                <c:pt idx="21">
                  <c:v>44322</c:v>
                </c:pt>
                <c:pt idx="22">
                  <c:v>44323</c:v>
                </c:pt>
                <c:pt idx="23">
                  <c:v>44324</c:v>
                </c:pt>
                <c:pt idx="24">
                  <c:v>44325</c:v>
                </c:pt>
                <c:pt idx="25">
                  <c:v>44326</c:v>
                </c:pt>
                <c:pt idx="26">
                  <c:v>44327</c:v>
                </c:pt>
                <c:pt idx="27">
                  <c:v>44328</c:v>
                </c:pt>
                <c:pt idx="28">
                  <c:v>44329</c:v>
                </c:pt>
                <c:pt idx="29">
                  <c:v>44330</c:v>
                </c:pt>
                <c:pt idx="30">
                  <c:v>44331</c:v>
                </c:pt>
                <c:pt idx="31">
                  <c:v>44332</c:v>
                </c:pt>
                <c:pt idx="32">
                  <c:v>44333</c:v>
                </c:pt>
                <c:pt idx="33">
                  <c:v>44334</c:v>
                </c:pt>
                <c:pt idx="34">
                  <c:v>44335</c:v>
                </c:pt>
                <c:pt idx="35">
                  <c:v>44336</c:v>
                </c:pt>
                <c:pt idx="36">
                  <c:v>44337</c:v>
                </c:pt>
                <c:pt idx="37">
                  <c:v>44338</c:v>
                </c:pt>
                <c:pt idx="38">
                  <c:v>44339</c:v>
                </c:pt>
                <c:pt idx="39">
                  <c:v>44340</c:v>
                </c:pt>
                <c:pt idx="40">
                  <c:v>44341</c:v>
                </c:pt>
                <c:pt idx="41">
                  <c:v>44342</c:v>
                </c:pt>
                <c:pt idx="42">
                  <c:v>44343</c:v>
                </c:pt>
                <c:pt idx="43">
                  <c:v>44344</c:v>
                </c:pt>
                <c:pt idx="44">
                  <c:v>44345</c:v>
                </c:pt>
                <c:pt idx="45">
                  <c:v>44346</c:v>
                </c:pt>
                <c:pt idx="46">
                  <c:v>44347</c:v>
                </c:pt>
                <c:pt idx="47">
                  <c:v>44348</c:v>
                </c:pt>
                <c:pt idx="48">
                  <c:v>44349</c:v>
                </c:pt>
                <c:pt idx="49">
                  <c:v>44350</c:v>
                </c:pt>
                <c:pt idx="50">
                  <c:v>44351</c:v>
                </c:pt>
                <c:pt idx="51">
                  <c:v>44352</c:v>
                </c:pt>
                <c:pt idx="52">
                  <c:v>44353</c:v>
                </c:pt>
                <c:pt idx="53">
                  <c:v>44354</c:v>
                </c:pt>
                <c:pt idx="54">
                  <c:v>44355</c:v>
                </c:pt>
                <c:pt idx="55">
                  <c:v>44356</c:v>
                </c:pt>
                <c:pt idx="56">
                  <c:v>44357</c:v>
                </c:pt>
                <c:pt idx="57">
                  <c:v>44358</c:v>
                </c:pt>
                <c:pt idx="58">
                  <c:v>44359</c:v>
                </c:pt>
                <c:pt idx="59">
                  <c:v>44360</c:v>
                </c:pt>
                <c:pt idx="60">
                  <c:v>44361</c:v>
                </c:pt>
                <c:pt idx="61">
                  <c:v>44362</c:v>
                </c:pt>
                <c:pt idx="62">
                  <c:v>44363</c:v>
                </c:pt>
                <c:pt idx="63">
                  <c:v>44364</c:v>
                </c:pt>
                <c:pt idx="64">
                  <c:v>44365</c:v>
                </c:pt>
                <c:pt idx="65">
                  <c:v>44366</c:v>
                </c:pt>
                <c:pt idx="66">
                  <c:v>44367</c:v>
                </c:pt>
                <c:pt idx="67">
                  <c:v>44368</c:v>
                </c:pt>
                <c:pt idx="68">
                  <c:v>44369</c:v>
                </c:pt>
                <c:pt idx="69">
                  <c:v>44370</c:v>
                </c:pt>
                <c:pt idx="70">
                  <c:v>44371</c:v>
                </c:pt>
                <c:pt idx="71">
                  <c:v>44372</c:v>
                </c:pt>
                <c:pt idx="72">
                  <c:v>44373</c:v>
                </c:pt>
                <c:pt idx="73">
                  <c:v>44374</c:v>
                </c:pt>
                <c:pt idx="74">
                  <c:v>44375</c:v>
                </c:pt>
                <c:pt idx="75">
                  <c:v>44376</c:v>
                </c:pt>
                <c:pt idx="76">
                  <c:v>44377</c:v>
                </c:pt>
                <c:pt idx="77">
                  <c:v>44378</c:v>
                </c:pt>
                <c:pt idx="78">
                  <c:v>44379</c:v>
                </c:pt>
                <c:pt idx="79">
                  <c:v>44380</c:v>
                </c:pt>
                <c:pt idx="80">
                  <c:v>44381</c:v>
                </c:pt>
                <c:pt idx="81">
                  <c:v>44382</c:v>
                </c:pt>
                <c:pt idx="82">
                  <c:v>44383</c:v>
                </c:pt>
                <c:pt idx="83">
                  <c:v>44384</c:v>
                </c:pt>
                <c:pt idx="84">
                  <c:v>44385</c:v>
                </c:pt>
                <c:pt idx="85">
                  <c:v>44386</c:v>
                </c:pt>
                <c:pt idx="86">
                  <c:v>44387</c:v>
                </c:pt>
                <c:pt idx="87">
                  <c:v>44388</c:v>
                </c:pt>
                <c:pt idx="88">
                  <c:v>44389</c:v>
                </c:pt>
                <c:pt idx="89">
                  <c:v>44390</c:v>
                </c:pt>
                <c:pt idx="90">
                  <c:v>44391</c:v>
                </c:pt>
                <c:pt idx="91">
                  <c:v>44392</c:v>
                </c:pt>
                <c:pt idx="92">
                  <c:v>44393</c:v>
                </c:pt>
                <c:pt idx="93">
                  <c:v>44394</c:v>
                </c:pt>
                <c:pt idx="94">
                  <c:v>44395</c:v>
                </c:pt>
                <c:pt idx="95">
                  <c:v>44396</c:v>
                </c:pt>
                <c:pt idx="96">
                  <c:v>44397</c:v>
                </c:pt>
                <c:pt idx="97">
                  <c:v>44398</c:v>
                </c:pt>
                <c:pt idx="98">
                  <c:v>44399</c:v>
                </c:pt>
                <c:pt idx="99">
                  <c:v>44400</c:v>
                </c:pt>
                <c:pt idx="100">
                  <c:v>44401</c:v>
                </c:pt>
                <c:pt idx="101">
                  <c:v>44402</c:v>
                </c:pt>
                <c:pt idx="102">
                  <c:v>44403</c:v>
                </c:pt>
                <c:pt idx="103">
                  <c:v>44404</c:v>
                </c:pt>
                <c:pt idx="104">
                  <c:v>44405</c:v>
                </c:pt>
                <c:pt idx="105">
                  <c:v>44406</c:v>
                </c:pt>
                <c:pt idx="106">
                  <c:v>44407</c:v>
                </c:pt>
                <c:pt idx="107">
                  <c:v>44408</c:v>
                </c:pt>
                <c:pt idx="108">
                  <c:v>44409</c:v>
                </c:pt>
                <c:pt idx="109">
                  <c:v>44410</c:v>
                </c:pt>
                <c:pt idx="110">
                  <c:v>44411</c:v>
                </c:pt>
                <c:pt idx="111">
                  <c:v>44412</c:v>
                </c:pt>
                <c:pt idx="112">
                  <c:v>44413</c:v>
                </c:pt>
                <c:pt idx="113">
                  <c:v>44414</c:v>
                </c:pt>
                <c:pt idx="114">
                  <c:v>44415</c:v>
                </c:pt>
                <c:pt idx="115">
                  <c:v>44416</c:v>
                </c:pt>
                <c:pt idx="116">
                  <c:v>44417</c:v>
                </c:pt>
                <c:pt idx="117">
                  <c:v>44418</c:v>
                </c:pt>
                <c:pt idx="118">
                  <c:v>44419</c:v>
                </c:pt>
                <c:pt idx="119">
                  <c:v>44420</c:v>
                </c:pt>
                <c:pt idx="120">
                  <c:v>44421</c:v>
                </c:pt>
                <c:pt idx="121">
                  <c:v>44422</c:v>
                </c:pt>
                <c:pt idx="122">
                  <c:v>44423</c:v>
                </c:pt>
                <c:pt idx="123">
                  <c:v>44424</c:v>
                </c:pt>
                <c:pt idx="124">
                  <c:v>44425</c:v>
                </c:pt>
                <c:pt idx="125">
                  <c:v>44426</c:v>
                </c:pt>
                <c:pt idx="126">
                  <c:v>44427</c:v>
                </c:pt>
                <c:pt idx="127">
                  <c:v>44428</c:v>
                </c:pt>
                <c:pt idx="128">
                  <c:v>44429</c:v>
                </c:pt>
                <c:pt idx="129">
                  <c:v>44430</c:v>
                </c:pt>
                <c:pt idx="130">
                  <c:v>44431</c:v>
                </c:pt>
                <c:pt idx="131">
                  <c:v>44432</c:v>
                </c:pt>
                <c:pt idx="132">
                  <c:v>44433</c:v>
                </c:pt>
                <c:pt idx="133">
                  <c:v>44434</c:v>
                </c:pt>
                <c:pt idx="134">
                  <c:v>44435</c:v>
                </c:pt>
                <c:pt idx="135">
                  <c:v>44436</c:v>
                </c:pt>
                <c:pt idx="136">
                  <c:v>44437</c:v>
                </c:pt>
                <c:pt idx="137">
                  <c:v>44438</c:v>
                </c:pt>
                <c:pt idx="138">
                  <c:v>44439</c:v>
                </c:pt>
                <c:pt idx="139">
                  <c:v>44440</c:v>
                </c:pt>
                <c:pt idx="140">
                  <c:v>44441</c:v>
                </c:pt>
                <c:pt idx="141">
                  <c:v>44442</c:v>
                </c:pt>
                <c:pt idx="142">
                  <c:v>44443</c:v>
                </c:pt>
                <c:pt idx="143">
                  <c:v>44444</c:v>
                </c:pt>
                <c:pt idx="144">
                  <c:v>44445</c:v>
                </c:pt>
                <c:pt idx="145">
                  <c:v>44446</c:v>
                </c:pt>
                <c:pt idx="146">
                  <c:v>44447</c:v>
                </c:pt>
                <c:pt idx="147">
                  <c:v>44448</c:v>
                </c:pt>
                <c:pt idx="148">
                  <c:v>44449</c:v>
                </c:pt>
                <c:pt idx="149">
                  <c:v>44450</c:v>
                </c:pt>
                <c:pt idx="150">
                  <c:v>44451</c:v>
                </c:pt>
                <c:pt idx="151">
                  <c:v>44452</c:v>
                </c:pt>
                <c:pt idx="152">
                  <c:v>44453</c:v>
                </c:pt>
                <c:pt idx="153">
                  <c:v>44454</c:v>
                </c:pt>
                <c:pt idx="154">
                  <c:v>44455</c:v>
                </c:pt>
                <c:pt idx="155">
                  <c:v>44456</c:v>
                </c:pt>
                <c:pt idx="156">
                  <c:v>44457</c:v>
                </c:pt>
                <c:pt idx="157">
                  <c:v>44458</c:v>
                </c:pt>
                <c:pt idx="158">
                  <c:v>44459</c:v>
                </c:pt>
                <c:pt idx="159">
                  <c:v>44460</c:v>
                </c:pt>
                <c:pt idx="160">
                  <c:v>44461</c:v>
                </c:pt>
                <c:pt idx="161">
                  <c:v>44462</c:v>
                </c:pt>
                <c:pt idx="162">
                  <c:v>44463</c:v>
                </c:pt>
                <c:pt idx="163">
                  <c:v>44464</c:v>
                </c:pt>
                <c:pt idx="164">
                  <c:v>44465</c:v>
                </c:pt>
                <c:pt idx="165">
                  <c:v>44466</c:v>
                </c:pt>
                <c:pt idx="166">
                  <c:v>44467</c:v>
                </c:pt>
                <c:pt idx="167">
                  <c:v>44468</c:v>
                </c:pt>
                <c:pt idx="168">
                  <c:v>44469</c:v>
                </c:pt>
                <c:pt idx="169">
                  <c:v>44470</c:v>
                </c:pt>
                <c:pt idx="170">
                  <c:v>44471</c:v>
                </c:pt>
                <c:pt idx="171">
                  <c:v>44472</c:v>
                </c:pt>
                <c:pt idx="172">
                  <c:v>44473</c:v>
                </c:pt>
                <c:pt idx="173">
                  <c:v>44474</c:v>
                </c:pt>
                <c:pt idx="174">
                  <c:v>44475</c:v>
                </c:pt>
                <c:pt idx="175">
                  <c:v>44476</c:v>
                </c:pt>
                <c:pt idx="176">
                  <c:v>44477</c:v>
                </c:pt>
                <c:pt idx="177">
                  <c:v>44478</c:v>
                </c:pt>
                <c:pt idx="178">
                  <c:v>44479</c:v>
                </c:pt>
                <c:pt idx="179">
                  <c:v>44480</c:v>
                </c:pt>
                <c:pt idx="180">
                  <c:v>44481</c:v>
                </c:pt>
                <c:pt idx="181">
                  <c:v>44482</c:v>
                </c:pt>
                <c:pt idx="182">
                  <c:v>44483</c:v>
                </c:pt>
                <c:pt idx="183">
                  <c:v>44484</c:v>
                </c:pt>
                <c:pt idx="184">
                  <c:v>44485</c:v>
                </c:pt>
                <c:pt idx="185">
                  <c:v>44486</c:v>
                </c:pt>
                <c:pt idx="186">
                  <c:v>44487</c:v>
                </c:pt>
                <c:pt idx="187">
                  <c:v>44488</c:v>
                </c:pt>
                <c:pt idx="188">
                  <c:v>44489</c:v>
                </c:pt>
                <c:pt idx="189">
                  <c:v>44490</c:v>
                </c:pt>
                <c:pt idx="190">
                  <c:v>44491</c:v>
                </c:pt>
                <c:pt idx="191">
                  <c:v>44492</c:v>
                </c:pt>
                <c:pt idx="192">
                  <c:v>44493</c:v>
                </c:pt>
                <c:pt idx="193">
                  <c:v>44494</c:v>
                </c:pt>
                <c:pt idx="194">
                  <c:v>44495</c:v>
                </c:pt>
                <c:pt idx="195">
                  <c:v>44496</c:v>
                </c:pt>
                <c:pt idx="196">
                  <c:v>44497</c:v>
                </c:pt>
                <c:pt idx="197">
                  <c:v>44498</c:v>
                </c:pt>
                <c:pt idx="198">
                  <c:v>44499</c:v>
                </c:pt>
                <c:pt idx="199">
                  <c:v>44500</c:v>
                </c:pt>
                <c:pt idx="200">
                  <c:v>44501</c:v>
                </c:pt>
                <c:pt idx="201">
                  <c:v>44502</c:v>
                </c:pt>
                <c:pt idx="202">
                  <c:v>44503</c:v>
                </c:pt>
                <c:pt idx="203">
                  <c:v>44504</c:v>
                </c:pt>
                <c:pt idx="204">
                  <c:v>44505</c:v>
                </c:pt>
                <c:pt idx="205">
                  <c:v>44506</c:v>
                </c:pt>
                <c:pt idx="206">
                  <c:v>44507</c:v>
                </c:pt>
                <c:pt idx="207">
                  <c:v>44508</c:v>
                </c:pt>
                <c:pt idx="208">
                  <c:v>44509</c:v>
                </c:pt>
                <c:pt idx="209">
                  <c:v>44510</c:v>
                </c:pt>
                <c:pt idx="210">
                  <c:v>44511</c:v>
                </c:pt>
                <c:pt idx="211">
                  <c:v>44512</c:v>
                </c:pt>
                <c:pt idx="212">
                  <c:v>44513</c:v>
                </c:pt>
                <c:pt idx="213">
                  <c:v>44514</c:v>
                </c:pt>
                <c:pt idx="214">
                  <c:v>44515</c:v>
                </c:pt>
                <c:pt idx="215">
                  <c:v>44516</c:v>
                </c:pt>
                <c:pt idx="216">
                  <c:v>44517</c:v>
                </c:pt>
                <c:pt idx="217">
                  <c:v>44518</c:v>
                </c:pt>
                <c:pt idx="218">
                  <c:v>44519</c:v>
                </c:pt>
                <c:pt idx="219">
                  <c:v>44520</c:v>
                </c:pt>
                <c:pt idx="220">
                  <c:v>44521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44527</c:v>
                </c:pt>
                <c:pt idx="227">
                  <c:v>44528</c:v>
                </c:pt>
                <c:pt idx="228">
                  <c:v>44529</c:v>
                </c:pt>
                <c:pt idx="229">
                  <c:v>44530</c:v>
                </c:pt>
                <c:pt idx="230">
                  <c:v>44531</c:v>
                </c:pt>
                <c:pt idx="231">
                  <c:v>44532</c:v>
                </c:pt>
                <c:pt idx="232">
                  <c:v>44533</c:v>
                </c:pt>
                <c:pt idx="233">
                  <c:v>44534</c:v>
                </c:pt>
                <c:pt idx="234">
                  <c:v>44535</c:v>
                </c:pt>
                <c:pt idx="235">
                  <c:v>44536</c:v>
                </c:pt>
                <c:pt idx="236">
                  <c:v>44537</c:v>
                </c:pt>
                <c:pt idx="237">
                  <c:v>44538</c:v>
                </c:pt>
                <c:pt idx="238">
                  <c:v>44539</c:v>
                </c:pt>
                <c:pt idx="239">
                  <c:v>44540</c:v>
                </c:pt>
                <c:pt idx="240">
                  <c:v>44541</c:v>
                </c:pt>
                <c:pt idx="241">
                  <c:v>44542</c:v>
                </c:pt>
                <c:pt idx="242">
                  <c:v>44543</c:v>
                </c:pt>
                <c:pt idx="243">
                  <c:v>44544</c:v>
                </c:pt>
                <c:pt idx="244">
                  <c:v>44545</c:v>
                </c:pt>
                <c:pt idx="245">
                  <c:v>44546</c:v>
                </c:pt>
                <c:pt idx="246">
                  <c:v>44547</c:v>
                </c:pt>
                <c:pt idx="247">
                  <c:v>44548</c:v>
                </c:pt>
                <c:pt idx="248">
                  <c:v>44549</c:v>
                </c:pt>
                <c:pt idx="249">
                  <c:v>44550</c:v>
                </c:pt>
                <c:pt idx="250">
                  <c:v>44551</c:v>
                </c:pt>
                <c:pt idx="251">
                  <c:v>44552</c:v>
                </c:pt>
                <c:pt idx="252">
                  <c:v>44553</c:v>
                </c:pt>
                <c:pt idx="253">
                  <c:v>44554</c:v>
                </c:pt>
                <c:pt idx="254">
                  <c:v>44555</c:v>
                </c:pt>
                <c:pt idx="255">
                  <c:v>44556</c:v>
                </c:pt>
                <c:pt idx="256">
                  <c:v>44557</c:v>
                </c:pt>
                <c:pt idx="257">
                  <c:v>44558</c:v>
                </c:pt>
                <c:pt idx="258">
                  <c:v>44559</c:v>
                </c:pt>
                <c:pt idx="259">
                  <c:v>44560</c:v>
                </c:pt>
                <c:pt idx="260">
                  <c:v>44561</c:v>
                </c:pt>
              </c:numCache>
            </c:numRef>
          </c:cat>
          <c:val>
            <c:numRef>
              <c:f>Summary!$E$6:$E$13</c:f>
              <c:numCache>
                <c:formatCode>General</c:formatCode>
                <c:ptCount val="8"/>
                <c:pt idx="0">
                  <c:v>418314</c:v>
                </c:pt>
                <c:pt idx="1">
                  <c:v>428489</c:v>
                </c:pt>
                <c:pt idx="2">
                  <c:v>442872</c:v>
                </c:pt>
                <c:pt idx="3">
                  <c:v>451466</c:v>
                </c:pt>
                <c:pt idx="4">
                  <c:v>460059</c:v>
                </c:pt>
                <c:pt idx="5">
                  <c:v>463486</c:v>
                </c:pt>
                <c:pt idx="6">
                  <c:v>471059</c:v>
                </c:pt>
                <c:pt idx="7">
                  <c:v>481336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AC-42A6-A6C7-20319AB85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9917487"/>
        <c:axId val="1019933711"/>
      </c:barChart>
      <c:lineChart>
        <c:grouping val="standard"/>
        <c:varyColors val="0"/>
        <c:ser>
          <c:idx val="1"/>
          <c:order val="1"/>
          <c:tx>
            <c:strRef>
              <c:f>Summary!$I$5</c:f>
              <c:strCache>
                <c:ptCount val="1"/>
                <c:pt idx="0">
                  <c:v>Projected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Summary!$I$6:$I$266</c:f>
              <c:numCache>
                <c:formatCode>General</c:formatCode>
                <c:ptCount val="261"/>
                <c:pt idx="8" formatCode="0">
                  <c:v>490339</c:v>
                </c:pt>
                <c:pt idx="9" formatCode="0">
                  <c:v>499518</c:v>
                </c:pt>
                <c:pt idx="10" formatCode="0">
                  <c:v>508829</c:v>
                </c:pt>
                <c:pt idx="11" formatCode="0">
                  <c:v>517735.625</c:v>
                </c:pt>
                <c:pt idx="12" formatCode="0">
                  <c:v>526437.875</c:v>
                </c:pt>
                <c:pt idx="13" formatCode="0">
                  <c:v>534700</c:v>
                </c:pt>
                <c:pt idx="14" formatCode="0">
                  <c:v>542962.125</c:v>
                </c:pt>
                <c:pt idx="15" formatCode="0">
                  <c:v>551224.25</c:v>
                </c:pt>
                <c:pt idx="16" formatCode="0">
                  <c:v>559486.375</c:v>
                </c:pt>
                <c:pt idx="17" formatCode="0">
                  <c:v>567748.5</c:v>
                </c:pt>
                <c:pt idx="18" formatCode="0">
                  <c:v>576010.625</c:v>
                </c:pt>
                <c:pt idx="19" formatCode="0">
                  <c:v>584272.75</c:v>
                </c:pt>
                <c:pt idx="20" formatCode="0">
                  <c:v>592534.875</c:v>
                </c:pt>
                <c:pt idx="21" formatCode="0">
                  <c:v>600797</c:v>
                </c:pt>
                <c:pt idx="22" formatCode="0">
                  <c:v>609059.125</c:v>
                </c:pt>
                <c:pt idx="23" formatCode="0">
                  <c:v>617321.25</c:v>
                </c:pt>
                <c:pt idx="24" formatCode="0">
                  <c:v>625583.375</c:v>
                </c:pt>
                <c:pt idx="25" formatCode="0">
                  <c:v>633845.5</c:v>
                </c:pt>
                <c:pt idx="26" formatCode="0">
                  <c:v>642107.625</c:v>
                </c:pt>
                <c:pt idx="27" formatCode="0">
                  <c:v>650369.75</c:v>
                </c:pt>
                <c:pt idx="28" formatCode="0">
                  <c:v>658631.875</c:v>
                </c:pt>
                <c:pt idx="29" formatCode="0">
                  <c:v>666894</c:v>
                </c:pt>
                <c:pt idx="30" formatCode="0">
                  <c:v>675156.125</c:v>
                </c:pt>
                <c:pt idx="31" formatCode="0">
                  <c:v>683418.25</c:v>
                </c:pt>
                <c:pt idx="32" formatCode="0">
                  <c:v>691680.375</c:v>
                </c:pt>
                <c:pt idx="33" formatCode="0">
                  <c:v>699942.5</c:v>
                </c:pt>
                <c:pt idx="34" formatCode="0">
                  <c:v>708204.625</c:v>
                </c:pt>
                <c:pt idx="35" formatCode="0">
                  <c:v>716466.75</c:v>
                </c:pt>
                <c:pt idx="36" formatCode="0">
                  <c:v>724728.875</c:v>
                </c:pt>
                <c:pt idx="37" formatCode="0">
                  <c:v>732991</c:v>
                </c:pt>
                <c:pt idx="38" formatCode="0">
                  <c:v>741253.125</c:v>
                </c:pt>
                <c:pt idx="39" formatCode="0">
                  <c:v>749515.25</c:v>
                </c:pt>
                <c:pt idx="40" formatCode="0">
                  <c:v>757777.375</c:v>
                </c:pt>
                <c:pt idx="41" formatCode="0">
                  <c:v>766039.5</c:v>
                </c:pt>
                <c:pt idx="42" formatCode="0">
                  <c:v>774301.625</c:v>
                </c:pt>
                <c:pt idx="43" formatCode="0">
                  <c:v>782563.75</c:v>
                </c:pt>
                <c:pt idx="44" formatCode="0">
                  <c:v>790825.875</c:v>
                </c:pt>
                <c:pt idx="45" formatCode="0">
                  <c:v>799088</c:v>
                </c:pt>
                <c:pt idx="46" formatCode="0">
                  <c:v>807350.125</c:v>
                </c:pt>
                <c:pt idx="47" formatCode="0">
                  <c:v>815612.25</c:v>
                </c:pt>
                <c:pt idx="48" formatCode="0">
                  <c:v>823874.375</c:v>
                </c:pt>
                <c:pt idx="49" formatCode="0">
                  <c:v>832136.5</c:v>
                </c:pt>
                <c:pt idx="50" formatCode="0">
                  <c:v>840398.625</c:v>
                </c:pt>
                <c:pt idx="51" formatCode="0">
                  <c:v>848660.75</c:v>
                </c:pt>
                <c:pt idx="52" formatCode="0">
                  <c:v>856922.875</c:v>
                </c:pt>
                <c:pt idx="53" formatCode="0">
                  <c:v>865185</c:v>
                </c:pt>
                <c:pt idx="54" formatCode="0">
                  <c:v>873447.125</c:v>
                </c:pt>
                <c:pt idx="55" formatCode="0">
                  <c:v>881709.25</c:v>
                </c:pt>
                <c:pt idx="56" formatCode="0">
                  <c:v>889971.375</c:v>
                </c:pt>
                <c:pt idx="57" formatCode="0">
                  <c:v>898233.5</c:v>
                </c:pt>
                <c:pt idx="58" formatCode="0">
                  <c:v>906495.625</c:v>
                </c:pt>
                <c:pt idx="59" formatCode="0">
                  <c:v>914757.75</c:v>
                </c:pt>
                <c:pt idx="60" formatCode="0">
                  <c:v>923019.875</c:v>
                </c:pt>
                <c:pt idx="61" formatCode="0">
                  <c:v>931282</c:v>
                </c:pt>
                <c:pt idx="62" formatCode="0">
                  <c:v>939544.125</c:v>
                </c:pt>
                <c:pt idx="63" formatCode="0">
                  <c:v>947806.25</c:v>
                </c:pt>
                <c:pt idx="64" formatCode="0">
                  <c:v>956068.375</c:v>
                </c:pt>
                <c:pt idx="65" formatCode="0">
                  <c:v>964330.5</c:v>
                </c:pt>
                <c:pt idx="66" formatCode="0">
                  <c:v>972592.625</c:v>
                </c:pt>
                <c:pt idx="67" formatCode="0">
                  <c:v>980854.75</c:v>
                </c:pt>
                <c:pt idx="68" formatCode="0">
                  <c:v>989116.875</c:v>
                </c:pt>
                <c:pt idx="69" formatCode="0">
                  <c:v>997379</c:v>
                </c:pt>
                <c:pt idx="70" formatCode="0">
                  <c:v>1005641.125</c:v>
                </c:pt>
                <c:pt idx="71" formatCode="0">
                  <c:v>1013903.25</c:v>
                </c:pt>
                <c:pt idx="72" formatCode="0">
                  <c:v>1022165.375</c:v>
                </c:pt>
                <c:pt idx="73" formatCode="0">
                  <c:v>1030427.5</c:v>
                </c:pt>
                <c:pt idx="74" formatCode="0">
                  <c:v>1038689.625</c:v>
                </c:pt>
                <c:pt idx="75" formatCode="0">
                  <c:v>1046951.75</c:v>
                </c:pt>
                <c:pt idx="76" formatCode="0">
                  <c:v>1055213.875</c:v>
                </c:pt>
                <c:pt idx="77" formatCode="0">
                  <c:v>1063476</c:v>
                </c:pt>
                <c:pt idx="78" formatCode="0">
                  <c:v>1071738.125</c:v>
                </c:pt>
                <c:pt idx="79" formatCode="0">
                  <c:v>1080000.25</c:v>
                </c:pt>
                <c:pt idx="80" formatCode="0">
                  <c:v>1088262.375</c:v>
                </c:pt>
                <c:pt idx="81" formatCode="0">
                  <c:v>1096524.5</c:v>
                </c:pt>
                <c:pt idx="82" formatCode="0">
                  <c:v>1104786.625</c:v>
                </c:pt>
                <c:pt idx="83" formatCode="0">
                  <c:v>1113048.75</c:v>
                </c:pt>
                <c:pt idx="84" formatCode="0">
                  <c:v>1121310.875</c:v>
                </c:pt>
                <c:pt idx="85" formatCode="0">
                  <c:v>1129573</c:v>
                </c:pt>
                <c:pt idx="86" formatCode="0">
                  <c:v>1137835.125</c:v>
                </c:pt>
                <c:pt idx="87" formatCode="0">
                  <c:v>1146097.25</c:v>
                </c:pt>
                <c:pt idx="88" formatCode="0">
                  <c:v>1154359.375</c:v>
                </c:pt>
                <c:pt idx="89" formatCode="0">
                  <c:v>1162621.5</c:v>
                </c:pt>
                <c:pt idx="90" formatCode="0">
                  <c:v>1170883.625</c:v>
                </c:pt>
                <c:pt idx="91" formatCode="0">
                  <c:v>1179145.75</c:v>
                </c:pt>
                <c:pt idx="92" formatCode="0">
                  <c:v>1187407.875</c:v>
                </c:pt>
                <c:pt idx="93" formatCode="0">
                  <c:v>1195670</c:v>
                </c:pt>
                <c:pt idx="94" formatCode="0">
                  <c:v>1203932.125</c:v>
                </c:pt>
                <c:pt idx="95" formatCode="0">
                  <c:v>1212194.25</c:v>
                </c:pt>
                <c:pt idx="96" formatCode="0">
                  <c:v>1220456.375</c:v>
                </c:pt>
                <c:pt idx="97" formatCode="0">
                  <c:v>1228718.5</c:v>
                </c:pt>
                <c:pt idx="98" formatCode="0">
                  <c:v>1236980.625</c:v>
                </c:pt>
                <c:pt idx="99" formatCode="0">
                  <c:v>1245242.75</c:v>
                </c:pt>
                <c:pt idx="100" formatCode="0">
                  <c:v>1253504.875</c:v>
                </c:pt>
                <c:pt idx="101" formatCode="0">
                  <c:v>1261767</c:v>
                </c:pt>
                <c:pt idx="102" formatCode="0">
                  <c:v>1270029.125</c:v>
                </c:pt>
                <c:pt idx="103" formatCode="0">
                  <c:v>1278291.25</c:v>
                </c:pt>
                <c:pt idx="104" formatCode="0">
                  <c:v>1286553.375</c:v>
                </c:pt>
                <c:pt idx="105" formatCode="0">
                  <c:v>1294815.5</c:v>
                </c:pt>
                <c:pt idx="106" formatCode="0">
                  <c:v>1303077.625</c:v>
                </c:pt>
                <c:pt idx="107" formatCode="0">
                  <c:v>1311339.75</c:v>
                </c:pt>
                <c:pt idx="108" formatCode="0">
                  <c:v>1319601.875</c:v>
                </c:pt>
                <c:pt idx="109" formatCode="0">
                  <c:v>1327864</c:v>
                </c:pt>
                <c:pt idx="110" formatCode="0">
                  <c:v>1336126.125</c:v>
                </c:pt>
                <c:pt idx="111" formatCode="0">
                  <c:v>1344388.25</c:v>
                </c:pt>
                <c:pt idx="112" formatCode="0">
                  <c:v>1352650.375</c:v>
                </c:pt>
                <c:pt idx="113" formatCode="0">
                  <c:v>1360912.5</c:v>
                </c:pt>
                <c:pt idx="114" formatCode="0">
                  <c:v>1369174.625</c:v>
                </c:pt>
                <c:pt idx="115" formatCode="0">
                  <c:v>1377436.75</c:v>
                </c:pt>
                <c:pt idx="116" formatCode="0">
                  <c:v>1385698.875</c:v>
                </c:pt>
                <c:pt idx="117" formatCode="0">
                  <c:v>1393961</c:v>
                </c:pt>
                <c:pt idx="118" formatCode="0">
                  <c:v>1402223.125</c:v>
                </c:pt>
                <c:pt idx="119" formatCode="0">
                  <c:v>1410485.25</c:v>
                </c:pt>
                <c:pt idx="120" formatCode="0">
                  <c:v>1418747.375</c:v>
                </c:pt>
                <c:pt idx="121" formatCode="0">
                  <c:v>1427009.5</c:v>
                </c:pt>
                <c:pt idx="122" formatCode="0">
                  <c:v>1435271.625</c:v>
                </c:pt>
                <c:pt idx="123" formatCode="0">
                  <c:v>1443533.75</c:v>
                </c:pt>
                <c:pt idx="124" formatCode="0">
                  <c:v>1451795.875</c:v>
                </c:pt>
                <c:pt idx="125" formatCode="0">
                  <c:v>1460058</c:v>
                </c:pt>
                <c:pt idx="126" formatCode="0">
                  <c:v>1468320.125</c:v>
                </c:pt>
                <c:pt idx="127" formatCode="0">
                  <c:v>1476582.25</c:v>
                </c:pt>
                <c:pt idx="128" formatCode="0">
                  <c:v>1484844.375</c:v>
                </c:pt>
                <c:pt idx="129" formatCode="0">
                  <c:v>1493106.5</c:v>
                </c:pt>
                <c:pt idx="130" formatCode="0">
                  <c:v>1501368.625</c:v>
                </c:pt>
                <c:pt idx="131" formatCode="0">
                  <c:v>1509630.75</c:v>
                </c:pt>
                <c:pt idx="132" formatCode="0">
                  <c:v>1517892.875</c:v>
                </c:pt>
                <c:pt idx="133" formatCode="0">
                  <c:v>1526155</c:v>
                </c:pt>
                <c:pt idx="134" formatCode="0">
                  <c:v>1534417.125</c:v>
                </c:pt>
                <c:pt idx="135" formatCode="0">
                  <c:v>1542679.25</c:v>
                </c:pt>
                <c:pt idx="136" formatCode="0">
                  <c:v>1550941.375</c:v>
                </c:pt>
                <c:pt idx="137" formatCode="0">
                  <c:v>1559203.5</c:v>
                </c:pt>
                <c:pt idx="138" formatCode="0">
                  <c:v>1567465.625</c:v>
                </c:pt>
                <c:pt idx="139" formatCode="0">
                  <c:v>1575727.75</c:v>
                </c:pt>
                <c:pt idx="140" formatCode="0">
                  <c:v>1583989.875</c:v>
                </c:pt>
                <c:pt idx="141" formatCode="0">
                  <c:v>1592252</c:v>
                </c:pt>
                <c:pt idx="142" formatCode="0">
                  <c:v>1600514.125</c:v>
                </c:pt>
                <c:pt idx="143" formatCode="0">
                  <c:v>1608776.25</c:v>
                </c:pt>
                <c:pt idx="144" formatCode="0">
                  <c:v>1617038.375</c:v>
                </c:pt>
                <c:pt idx="145" formatCode="0">
                  <c:v>1625300.5</c:v>
                </c:pt>
                <c:pt idx="146" formatCode="0">
                  <c:v>1633562.625</c:v>
                </c:pt>
                <c:pt idx="147" formatCode="0">
                  <c:v>1641824.75</c:v>
                </c:pt>
                <c:pt idx="148" formatCode="0">
                  <c:v>1650086.875</c:v>
                </c:pt>
                <c:pt idx="149" formatCode="0">
                  <c:v>1658349</c:v>
                </c:pt>
                <c:pt idx="150" formatCode="0">
                  <c:v>1666611.125</c:v>
                </c:pt>
                <c:pt idx="151" formatCode="0">
                  <c:v>1674873.25</c:v>
                </c:pt>
                <c:pt idx="152" formatCode="0">
                  <c:v>1683135.375</c:v>
                </c:pt>
                <c:pt idx="153" formatCode="0">
                  <c:v>1691397.5</c:v>
                </c:pt>
                <c:pt idx="154" formatCode="0">
                  <c:v>1699659.625</c:v>
                </c:pt>
                <c:pt idx="155" formatCode="0">
                  <c:v>1707921.75</c:v>
                </c:pt>
                <c:pt idx="156" formatCode="0">
                  <c:v>1716183.875</c:v>
                </c:pt>
                <c:pt idx="157" formatCode="0">
                  <c:v>1724446</c:v>
                </c:pt>
                <c:pt idx="158" formatCode="0">
                  <c:v>1732708.125</c:v>
                </c:pt>
                <c:pt idx="159" formatCode="0">
                  <c:v>1740970.25</c:v>
                </c:pt>
                <c:pt idx="160" formatCode="0">
                  <c:v>1749232.375</c:v>
                </c:pt>
                <c:pt idx="161" formatCode="0">
                  <c:v>1757494.5</c:v>
                </c:pt>
                <c:pt idx="162" formatCode="0">
                  <c:v>1765756.625</c:v>
                </c:pt>
                <c:pt idx="163" formatCode="0">
                  <c:v>1774018.75</c:v>
                </c:pt>
                <c:pt idx="164" formatCode="0">
                  <c:v>1782280.875</c:v>
                </c:pt>
                <c:pt idx="165" formatCode="0">
                  <c:v>1790543</c:v>
                </c:pt>
                <c:pt idx="166" formatCode="0">
                  <c:v>1798805.125</c:v>
                </c:pt>
                <c:pt idx="167" formatCode="0">
                  <c:v>1807067.25</c:v>
                </c:pt>
                <c:pt idx="168" formatCode="0">
                  <c:v>1815329.375</c:v>
                </c:pt>
                <c:pt idx="169" formatCode="0">
                  <c:v>1823591.5</c:v>
                </c:pt>
                <c:pt idx="170" formatCode="0">
                  <c:v>1831853.625</c:v>
                </c:pt>
                <c:pt idx="171" formatCode="0">
                  <c:v>1840115.75</c:v>
                </c:pt>
                <c:pt idx="172" formatCode="0">
                  <c:v>1848377.875</c:v>
                </c:pt>
                <c:pt idx="173" formatCode="0">
                  <c:v>1856640</c:v>
                </c:pt>
                <c:pt idx="174" formatCode="0">
                  <c:v>1864902.125</c:v>
                </c:pt>
                <c:pt idx="175" formatCode="0">
                  <c:v>1873164.25</c:v>
                </c:pt>
                <c:pt idx="176" formatCode="0">
                  <c:v>1881426.375</c:v>
                </c:pt>
                <c:pt idx="177" formatCode="0">
                  <c:v>1889688.5</c:v>
                </c:pt>
                <c:pt idx="178" formatCode="0">
                  <c:v>1897950.625</c:v>
                </c:pt>
                <c:pt idx="179" formatCode="0">
                  <c:v>1906212.75</c:v>
                </c:pt>
                <c:pt idx="180" formatCode="0">
                  <c:v>1914474.875</c:v>
                </c:pt>
                <c:pt idx="181" formatCode="0">
                  <c:v>1922737</c:v>
                </c:pt>
                <c:pt idx="182" formatCode="0">
                  <c:v>1930999.125</c:v>
                </c:pt>
                <c:pt idx="183" formatCode="0">
                  <c:v>1939261.25</c:v>
                </c:pt>
                <c:pt idx="184" formatCode="0">
                  <c:v>1947523.375</c:v>
                </c:pt>
                <c:pt idx="185" formatCode="0">
                  <c:v>1955785.5</c:v>
                </c:pt>
                <c:pt idx="186" formatCode="0">
                  <c:v>1964047.625</c:v>
                </c:pt>
                <c:pt idx="187" formatCode="0">
                  <c:v>1972309.75</c:v>
                </c:pt>
                <c:pt idx="188" formatCode="0">
                  <c:v>1980571.875</c:v>
                </c:pt>
                <c:pt idx="189" formatCode="0">
                  <c:v>1988834</c:v>
                </c:pt>
                <c:pt idx="190" formatCode="0">
                  <c:v>1997096.125</c:v>
                </c:pt>
                <c:pt idx="191" formatCode="0">
                  <c:v>2005358.25</c:v>
                </c:pt>
                <c:pt idx="192" formatCode="0">
                  <c:v>2013620.375</c:v>
                </c:pt>
                <c:pt idx="193" formatCode="0">
                  <c:v>2021882.5</c:v>
                </c:pt>
                <c:pt idx="194" formatCode="0">
                  <c:v>2030144.625</c:v>
                </c:pt>
                <c:pt idx="195" formatCode="0">
                  <c:v>2038406.75</c:v>
                </c:pt>
                <c:pt idx="196" formatCode="0">
                  <c:v>2046668.875</c:v>
                </c:pt>
                <c:pt idx="197" formatCode="0">
                  <c:v>2054931</c:v>
                </c:pt>
                <c:pt idx="198" formatCode="0">
                  <c:v>2063193.125</c:v>
                </c:pt>
                <c:pt idx="199" formatCode="0">
                  <c:v>2071455.25</c:v>
                </c:pt>
                <c:pt idx="200" formatCode="0">
                  <c:v>2079717.375</c:v>
                </c:pt>
                <c:pt idx="201" formatCode="0">
                  <c:v>2087979.5</c:v>
                </c:pt>
                <c:pt idx="202" formatCode="0">
                  <c:v>2096241.625</c:v>
                </c:pt>
                <c:pt idx="203" formatCode="0">
                  <c:v>2104503.75</c:v>
                </c:pt>
                <c:pt idx="204" formatCode="0">
                  <c:v>2112765.875</c:v>
                </c:pt>
                <c:pt idx="205" formatCode="0">
                  <c:v>2121028</c:v>
                </c:pt>
                <c:pt idx="206" formatCode="0">
                  <c:v>2129290.125</c:v>
                </c:pt>
                <c:pt idx="207" formatCode="0">
                  <c:v>2137552.25</c:v>
                </c:pt>
                <c:pt idx="208" formatCode="0">
                  <c:v>2145814.375</c:v>
                </c:pt>
                <c:pt idx="209" formatCode="0">
                  <c:v>2154076.5</c:v>
                </c:pt>
                <c:pt idx="210" formatCode="0">
                  <c:v>2162338.625</c:v>
                </c:pt>
                <c:pt idx="211" formatCode="0">
                  <c:v>2170600.75</c:v>
                </c:pt>
                <c:pt idx="212" formatCode="0">
                  <c:v>2178862.875</c:v>
                </c:pt>
                <c:pt idx="213" formatCode="0">
                  <c:v>2187125</c:v>
                </c:pt>
                <c:pt idx="214" formatCode="0">
                  <c:v>2195387.125</c:v>
                </c:pt>
                <c:pt idx="215" formatCode="0">
                  <c:v>2203649.25</c:v>
                </c:pt>
                <c:pt idx="216" formatCode="0">
                  <c:v>2211911.375</c:v>
                </c:pt>
                <c:pt idx="217" formatCode="0">
                  <c:v>2220173.5</c:v>
                </c:pt>
                <c:pt idx="218" formatCode="0">
                  <c:v>2228435.625</c:v>
                </c:pt>
                <c:pt idx="219" formatCode="0">
                  <c:v>2236697.75</c:v>
                </c:pt>
                <c:pt idx="220" formatCode="0">
                  <c:v>2244959.875</c:v>
                </c:pt>
                <c:pt idx="221" formatCode="0">
                  <c:v>2253222</c:v>
                </c:pt>
                <c:pt idx="222" formatCode="0">
                  <c:v>2261484.125</c:v>
                </c:pt>
                <c:pt idx="223" formatCode="0">
                  <c:v>2269746.25</c:v>
                </c:pt>
                <c:pt idx="224" formatCode="0">
                  <c:v>2278008.375</c:v>
                </c:pt>
                <c:pt idx="225" formatCode="0">
                  <c:v>2286270.5</c:v>
                </c:pt>
                <c:pt idx="226" formatCode="0">
                  <c:v>2294532.625</c:v>
                </c:pt>
                <c:pt idx="227" formatCode="0">
                  <c:v>2302794.75</c:v>
                </c:pt>
                <c:pt idx="228" formatCode="0">
                  <c:v>2311056.875</c:v>
                </c:pt>
                <c:pt idx="229" formatCode="0">
                  <c:v>2319319</c:v>
                </c:pt>
                <c:pt idx="230" formatCode="0">
                  <c:v>2327581.125</c:v>
                </c:pt>
                <c:pt idx="231" formatCode="0">
                  <c:v>2335843.25</c:v>
                </c:pt>
                <c:pt idx="232" formatCode="0">
                  <c:v>2344105.375</c:v>
                </c:pt>
                <c:pt idx="233" formatCode="0">
                  <c:v>2352367.5</c:v>
                </c:pt>
                <c:pt idx="234" formatCode="0">
                  <c:v>2360629.625</c:v>
                </c:pt>
                <c:pt idx="235" formatCode="0">
                  <c:v>2368891.75</c:v>
                </c:pt>
                <c:pt idx="236" formatCode="0">
                  <c:v>2377153.875</c:v>
                </c:pt>
                <c:pt idx="237" formatCode="0">
                  <c:v>2385416</c:v>
                </c:pt>
                <c:pt idx="238" formatCode="0">
                  <c:v>2393678.125</c:v>
                </c:pt>
                <c:pt idx="239" formatCode="0">
                  <c:v>2401940.25</c:v>
                </c:pt>
                <c:pt idx="240" formatCode="0">
                  <c:v>2410202.375</c:v>
                </c:pt>
                <c:pt idx="241" formatCode="0">
                  <c:v>2418464.5</c:v>
                </c:pt>
                <c:pt idx="242" formatCode="0">
                  <c:v>2426726.625</c:v>
                </c:pt>
                <c:pt idx="243" formatCode="0">
                  <c:v>2434988.75</c:v>
                </c:pt>
                <c:pt idx="244" formatCode="0">
                  <c:v>2443250.875</c:v>
                </c:pt>
                <c:pt idx="245" formatCode="0">
                  <c:v>2451513</c:v>
                </c:pt>
                <c:pt idx="246" formatCode="0">
                  <c:v>2459775.125</c:v>
                </c:pt>
                <c:pt idx="247" formatCode="0">
                  <c:v>2468037.25</c:v>
                </c:pt>
                <c:pt idx="248" formatCode="0">
                  <c:v>2476299.375</c:v>
                </c:pt>
                <c:pt idx="249" formatCode="0">
                  <c:v>2484561.5</c:v>
                </c:pt>
                <c:pt idx="250" formatCode="0">
                  <c:v>2492823.625</c:v>
                </c:pt>
                <c:pt idx="251" formatCode="0">
                  <c:v>2501085.75</c:v>
                </c:pt>
                <c:pt idx="252" formatCode="0">
                  <c:v>2509347.875</c:v>
                </c:pt>
                <c:pt idx="253" formatCode="0">
                  <c:v>2517610</c:v>
                </c:pt>
                <c:pt idx="254" formatCode="0">
                  <c:v>2525872.125</c:v>
                </c:pt>
                <c:pt idx="255" formatCode="0">
                  <c:v>2534134.25</c:v>
                </c:pt>
                <c:pt idx="256" formatCode="0">
                  <c:v>2542396.375</c:v>
                </c:pt>
                <c:pt idx="257" formatCode="0">
                  <c:v>2550658.5</c:v>
                </c:pt>
                <c:pt idx="258" formatCode="0">
                  <c:v>2558920.625</c:v>
                </c:pt>
                <c:pt idx="259" formatCode="0">
                  <c:v>2567182.75</c:v>
                </c:pt>
                <c:pt idx="260" formatCode="0">
                  <c:v>2575444.875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70-41B8-9CC0-CA3CA7D7A94D}"/>
            </c:ext>
          </c:extLst>
        </c:ser>
        <c:ser>
          <c:idx val="2"/>
          <c:order val="2"/>
          <c:tx>
            <c:v>HIT_Target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Summary!$J$6:$J$266</c:f>
              <c:numCache>
                <c:formatCode>_(* #,##0_);_(* \(#,##0\);_(* "-"??_);_(@_)</c:formatCode>
                <c:ptCount val="261"/>
                <c:pt idx="0">
                  <c:v>1757501</c:v>
                </c:pt>
                <c:pt idx="1">
                  <c:v>1757501</c:v>
                </c:pt>
                <c:pt idx="2">
                  <c:v>1757501</c:v>
                </c:pt>
                <c:pt idx="3">
                  <c:v>1757501</c:v>
                </c:pt>
                <c:pt idx="4">
                  <c:v>1757501</c:v>
                </c:pt>
                <c:pt idx="5">
                  <c:v>1757501</c:v>
                </c:pt>
                <c:pt idx="6">
                  <c:v>1757501</c:v>
                </c:pt>
                <c:pt idx="7">
                  <c:v>1757501</c:v>
                </c:pt>
                <c:pt idx="8">
                  <c:v>1757501</c:v>
                </c:pt>
                <c:pt idx="9">
                  <c:v>1757501</c:v>
                </c:pt>
                <c:pt idx="10">
                  <c:v>1757501</c:v>
                </c:pt>
                <c:pt idx="11">
                  <c:v>1757501</c:v>
                </c:pt>
                <c:pt idx="12">
                  <c:v>1757501</c:v>
                </c:pt>
                <c:pt idx="13">
                  <c:v>1757501</c:v>
                </c:pt>
                <c:pt idx="14">
                  <c:v>1757501</c:v>
                </c:pt>
                <c:pt idx="15">
                  <c:v>1757501</c:v>
                </c:pt>
                <c:pt idx="16">
                  <c:v>1757501</c:v>
                </c:pt>
                <c:pt idx="17">
                  <c:v>1757501</c:v>
                </c:pt>
                <c:pt idx="18">
                  <c:v>1757501</c:v>
                </c:pt>
                <c:pt idx="19">
                  <c:v>1757501</c:v>
                </c:pt>
                <c:pt idx="20">
                  <c:v>1757501</c:v>
                </c:pt>
                <c:pt idx="21">
                  <c:v>1757501</c:v>
                </c:pt>
                <c:pt idx="22">
                  <c:v>1757501</c:v>
                </c:pt>
                <c:pt idx="23">
                  <c:v>1757501</c:v>
                </c:pt>
                <c:pt idx="24">
                  <c:v>1757501</c:v>
                </c:pt>
                <c:pt idx="25">
                  <c:v>1757501</c:v>
                </c:pt>
                <c:pt idx="26">
                  <c:v>1757501</c:v>
                </c:pt>
                <c:pt idx="27">
                  <c:v>1757501</c:v>
                </c:pt>
                <c:pt idx="28">
                  <c:v>1757501</c:v>
                </c:pt>
                <c:pt idx="29">
                  <c:v>1757501</c:v>
                </c:pt>
                <c:pt idx="30">
                  <c:v>1757501</c:v>
                </c:pt>
                <c:pt idx="31">
                  <c:v>1757501</c:v>
                </c:pt>
                <c:pt idx="32">
                  <c:v>1757501</c:v>
                </c:pt>
                <c:pt idx="33">
                  <c:v>1757501</c:v>
                </c:pt>
                <c:pt idx="34">
                  <c:v>1757501</c:v>
                </c:pt>
                <c:pt idx="35">
                  <c:v>1757501</c:v>
                </c:pt>
                <c:pt idx="36">
                  <c:v>1757501</c:v>
                </c:pt>
                <c:pt idx="37">
                  <c:v>1757501</c:v>
                </c:pt>
                <c:pt idx="38">
                  <c:v>1757501</c:v>
                </c:pt>
                <c:pt idx="39">
                  <c:v>1757501</c:v>
                </c:pt>
                <c:pt idx="40">
                  <c:v>1757501</c:v>
                </c:pt>
                <c:pt idx="41">
                  <c:v>1757501</c:v>
                </c:pt>
                <c:pt idx="42">
                  <c:v>1757501</c:v>
                </c:pt>
                <c:pt idx="43">
                  <c:v>1757501</c:v>
                </c:pt>
                <c:pt idx="44">
                  <c:v>1757501</c:v>
                </c:pt>
                <c:pt idx="45">
                  <c:v>1757501</c:v>
                </c:pt>
                <c:pt idx="46">
                  <c:v>1757501</c:v>
                </c:pt>
                <c:pt idx="47">
                  <c:v>1757501</c:v>
                </c:pt>
                <c:pt idx="48">
                  <c:v>1757501</c:v>
                </c:pt>
                <c:pt idx="49">
                  <c:v>1757501</c:v>
                </c:pt>
                <c:pt idx="50">
                  <c:v>1757501</c:v>
                </c:pt>
                <c:pt idx="51">
                  <c:v>1757501</c:v>
                </c:pt>
                <c:pt idx="52">
                  <c:v>1757501</c:v>
                </c:pt>
                <c:pt idx="53">
                  <c:v>1757501</c:v>
                </c:pt>
                <c:pt idx="54">
                  <c:v>1757501</c:v>
                </c:pt>
                <c:pt idx="55">
                  <c:v>1757501</c:v>
                </c:pt>
                <c:pt idx="56">
                  <c:v>1757501</c:v>
                </c:pt>
                <c:pt idx="57">
                  <c:v>1757501</c:v>
                </c:pt>
                <c:pt idx="58">
                  <c:v>1757501</c:v>
                </c:pt>
                <c:pt idx="59">
                  <c:v>1757501</c:v>
                </c:pt>
                <c:pt idx="60">
                  <c:v>1757501</c:v>
                </c:pt>
                <c:pt idx="61">
                  <c:v>1757501</c:v>
                </c:pt>
                <c:pt idx="62">
                  <c:v>1757501</c:v>
                </c:pt>
                <c:pt idx="63">
                  <c:v>1757501</c:v>
                </c:pt>
                <c:pt idx="64">
                  <c:v>1757501</c:v>
                </c:pt>
                <c:pt idx="65">
                  <c:v>1757501</c:v>
                </c:pt>
                <c:pt idx="66">
                  <c:v>1757501</c:v>
                </c:pt>
                <c:pt idx="67">
                  <c:v>1757501</c:v>
                </c:pt>
                <c:pt idx="68">
                  <c:v>1757501</c:v>
                </c:pt>
                <c:pt idx="69">
                  <c:v>1757501</c:v>
                </c:pt>
                <c:pt idx="70">
                  <c:v>1757501</c:v>
                </c:pt>
                <c:pt idx="71">
                  <c:v>1757501</c:v>
                </c:pt>
                <c:pt idx="72">
                  <c:v>1757501</c:v>
                </c:pt>
                <c:pt idx="73">
                  <c:v>1757501</c:v>
                </c:pt>
                <c:pt idx="74">
                  <c:v>1757501</c:v>
                </c:pt>
                <c:pt idx="75">
                  <c:v>1757501</c:v>
                </c:pt>
                <c:pt idx="76">
                  <c:v>1757501</c:v>
                </c:pt>
                <c:pt idx="77">
                  <c:v>1757501</c:v>
                </c:pt>
                <c:pt idx="78">
                  <c:v>1757501</c:v>
                </c:pt>
                <c:pt idx="79">
                  <c:v>1757501</c:v>
                </c:pt>
                <c:pt idx="80">
                  <c:v>1757501</c:v>
                </c:pt>
                <c:pt idx="81">
                  <c:v>1757501</c:v>
                </c:pt>
                <c:pt idx="82">
                  <c:v>1757501</c:v>
                </c:pt>
                <c:pt idx="83">
                  <c:v>1757501</c:v>
                </c:pt>
                <c:pt idx="84">
                  <c:v>1757501</c:v>
                </c:pt>
                <c:pt idx="85">
                  <c:v>1757501</c:v>
                </c:pt>
                <c:pt idx="86">
                  <c:v>1757501</c:v>
                </c:pt>
                <c:pt idx="87">
                  <c:v>1757501</c:v>
                </c:pt>
                <c:pt idx="88">
                  <c:v>1757501</c:v>
                </c:pt>
                <c:pt idx="89">
                  <c:v>1757501</c:v>
                </c:pt>
                <c:pt idx="90">
                  <c:v>1757501</c:v>
                </c:pt>
                <c:pt idx="91">
                  <c:v>1757501</c:v>
                </c:pt>
                <c:pt idx="92">
                  <c:v>1757501</c:v>
                </c:pt>
                <c:pt idx="93">
                  <c:v>1757501</c:v>
                </c:pt>
                <c:pt idx="94">
                  <c:v>1757501</c:v>
                </c:pt>
                <c:pt idx="95">
                  <c:v>1757501</c:v>
                </c:pt>
                <c:pt idx="96">
                  <c:v>1757501</c:v>
                </c:pt>
                <c:pt idx="97">
                  <c:v>1757501</c:v>
                </c:pt>
                <c:pt idx="98">
                  <c:v>1757501</c:v>
                </c:pt>
                <c:pt idx="99">
                  <c:v>1757501</c:v>
                </c:pt>
                <c:pt idx="100">
                  <c:v>1757501</c:v>
                </c:pt>
                <c:pt idx="101">
                  <c:v>1757501</c:v>
                </c:pt>
                <c:pt idx="102">
                  <c:v>1757501</c:v>
                </c:pt>
                <c:pt idx="103">
                  <c:v>1757501</c:v>
                </c:pt>
                <c:pt idx="104">
                  <c:v>1757501</c:v>
                </c:pt>
                <c:pt idx="105">
                  <c:v>1757501</c:v>
                </c:pt>
                <c:pt idx="106">
                  <c:v>1757501</c:v>
                </c:pt>
                <c:pt idx="107">
                  <c:v>1757501</c:v>
                </c:pt>
                <c:pt idx="108">
                  <c:v>1757501</c:v>
                </c:pt>
                <c:pt idx="109">
                  <c:v>1757501</c:v>
                </c:pt>
                <c:pt idx="110">
                  <c:v>1757501</c:v>
                </c:pt>
                <c:pt idx="111">
                  <c:v>1757501</c:v>
                </c:pt>
                <c:pt idx="112">
                  <c:v>1757501</c:v>
                </c:pt>
                <c:pt idx="113">
                  <c:v>1757501</c:v>
                </c:pt>
                <c:pt idx="114">
                  <c:v>1757501</c:v>
                </c:pt>
                <c:pt idx="115">
                  <c:v>1757501</c:v>
                </c:pt>
                <c:pt idx="116">
                  <c:v>1757501</c:v>
                </c:pt>
                <c:pt idx="117">
                  <c:v>1757501</c:v>
                </c:pt>
                <c:pt idx="118">
                  <c:v>1757501</c:v>
                </c:pt>
                <c:pt idx="119">
                  <c:v>1757501</c:v>
                </c:pt>
                <c:pt idx="120">
                  <c:v>1757501</c:v>
                </c:pt>
                <c:pt idx="121">
                  <c:v>1757501</c:v>
                </c:pt>
                <c:pt idx="122">
                  <c:v>1757501</c:v>
                </c:pt>
                <c:pt idx="123">
                  <c:v>1757501</c:v>
                </c:pt>
                <c:pt idx="124">
                  <c:v>1757501</c:v>
                </c:pt>
                <c:pt idx="125">
                  <c:v>1757501</c:v>
                </c:pt>
                <c:pt idx="126">
                  <c:v>1757501</c:v>
                </c:pt>
                <c:pt idx="127">
                  <c:v>1757501</c:v>
                </c:pt>
                <c:pt idx="128">
                  <c:v>1757501</c:v>
                </c:pt>
                <c:pt idx="129">
                  <c:v>1757501</c:v>
                </c:pt>
                <c:pt idx="130">
                  <c:v>1757501</c:v>
                </c:pt>
                <c:pt idx="131">
                  <c:v>1757501</c:v>
                </c:pt>
                <c:pt idx="132">
                  <c:v>1757501</c:v>
                </c:pt>
                <c:pt idx="133">
                  <c:v>1757501</c:v>
                </c:pt>
                <c:pt idx="134">
                  <c:v>1757501</c:v>
                </c:pt>
                <c:pt idx="135">
                  <c:v>1757501</c:v>
                </c:pt>
                <c:pt idx="136">
                  <c:v>1757501</c:v>
                </c:pt>
                <c:pt idx="137">
                  <c:v>1757501</c:v>
                </c:pt>
                <c:pt idx="138">
                  <c:v>1757501</c:v>
                </c:pt>
                <c:pt idx="139">
                  <c:v>1757501</c:v>
                </c:pt>
                <c:pt idx="140">
                  <c:v>1757501</c:v>
                </c:pt>
                <c:pt idx="141">
                  <c:v>1757501</c:v>
                </c:pt>
                <c:pt idx="142">
                  <c:v>1757501</c:v>
                </c:pt>
                <c:pt idx="143">
                  <c:v>1757501</c:v>
                </c:pt>
                <c:pt idx="144">
                  <c:v>1757501</c:v>
                </c:pt>
                <c:pt idx="145">
                  <c:v>1757501</c:v>
                </c:pt>
                <c:pt idx="146">
                  <c:v>1757501</c:v>
                </c:pt>
                <c:pt idx="147">
                  <c:v>1757501</c:v>
                </c:pt>
                <c:pt idx="148">
                  <c:v>1757501</c:v>
                </c:pt>
                <c:pt idx="149">
                  <c:v>1757501</c:v>
                </c:pt>
                <c:pt idx="150">
                  <c:v>1757501</c:v>
                </c:pt>
                <c:pt idx="151">
                  <c:v>1757501</c:v>
                </c:pt>
                <c:pt idx="152">
                  <c:v>1757501</c:v>
                </c:pt>
                <c:pt idx="153">
                  <c:v>1757501</c:v>
                </c:pt>
                <c:pt idx="154">
                  <c:v>1757501</c:v>
                </c:pt>
                <c:pt idx="155">
                  <c:v>1757501</c:v>
                </c:pt>
                <c:pt idx="156">
                  <c:v>1757501</c:v>
                </c:pt>
                <c:pt idx="157">
                  <c:v>1757501</c:v>
                </c:pt>
                <c:pt idx="158">
                  <c:v>1757501</c:v>
                </c:pt>
                <c:pt idx="159">
                  <c:v>1757501</c:v>
                </c:pt>
                <c:pt idx="160">
                  <c:v>1757501</c:v>
                </c:pt>
                <c:pt idx="161">
                  <c:v>1757501</c:v>
                </c:pt>
                <c:pt idx="162">
                  <c:v>1757501</c:v>
                </c:pt>
                <c:pt idx="163">
                  <c:v>1757501</c:v>
                </c:pt>
                <c:pt idx="164">
                  <c:v>1757501</c:v>
                </c:pt>
                <c:pt idx="165">
                  <c:v>1757501</c:v>
                </c:pt>
                <c:pt idx="166">
                  <c:v>1757501</c:v>
                </c:pt>
                <c:pt idx="167">
                  <c:v>1757501</c:v>
                </c:pt>
                <c:pt idx="168">
                  <c:v>1757501</c:v>
                </c:pt>
                <c:pt idx="169">
                  <c:v>1757501</c:v>
                </c:pt>
                <c:pt idx="170">
                  <c:v>1757501</c:v>
                </c:pt>
                <c:pt idx="171">
                  <c:v>1757501</c:v>
                </c:pt>
                <c:pt idx="172">
                  <c:v>1757501</c:v>
                </c:pt>
                <c:pt idx="173">
                  <c:v>1757501</c:v>
                </c:pt>
                <c:pt idx="174">
                  <c:v>1757501</c:v>
                </c:pt>
                <c:pt idx="175">
                  <c:v>1757501</c:v>
                </c:pt>
                <c:pt idx="176">
                  <c:v>1757501</c:v>
                </c:pt>
                <c:pt idx="177">
                  <c:v>1757501</c:v>
                </c:pt>
                <c:pt idx="178">
                  <c:v>1757501</c:v>
                </c:pt>
                <c:pt idx="179">
                  <c:v>1757501</c:v>
                </c:pt>
                <c:pt idx="180">
                  <c:v>1757501</c:v>
                </c:pt>
                <c:pt idx="181">
                  <c:v>1757501</c:v>
                </c:pt>
                <c:pt idx="182">
                  <c:v>1757501</c:v>
                </c:pt>
                <c:pt idx="183">
                  <c:v>1757501</c:v>
                </c:pt>
                <c:pt idx="184">
                  <c:v>1757501</c:v>
                </c:pt>
                <c:pt idx="185">
                  <c:v>1757501</c:v>
                </c:pt>
                <c:pt idx="186">
                  <c:v>1757501</c:v>
                </c:pt>
                <c:pt idx="187">
                  <c:v>1757501</c:v>
                </c:pt>
                <c:pt idx="188">
                  <c:v>1757501</c:v>
                </c:pt>
                <c:pt idx="189">
                  <c:v>1757501</c:v>
                </c:pt>
                <c:pt idx="190">
                  <c:v>1757501</c:v>
                </c:pt>
                <c:pt idx="191">
                  <c:v>1757501</c:v>
                </c:pt>
                <c:pt idx="192">
                  <c:v>1757501</c:v>
                </c:pt>
                <c:pt idx="193">
                  <c:v>1757501</c:v>
                </c:pt>
                <c:pt idx="194">
                  <c:v>1757501</c:v>
                </c:pt>
                <c:pt idx="195">
                  <c:v>1757501</c:v>
                </c:pt>
                <c:pt idx="196">
                  <c:v>1757501</c:v>
                </c:pt>
                <c:pt idx="197">
                  <c:v>1757501</c:v>
                </c:pt>
                <c:pt idx="198">
                  <c:v>1757501</c:v>
                </c:pt>
                <c:pt idx="199">
                  <c:v>1757501</c:v>
                </c:pt>
                <c:pt idx="200">
                  <c:v>1757501</c:v>
                </c:pt>
                <c:pt idx="201">
                  <c:v>1757501</c:v>
                </c:pt>
                <c:pt idx="202">
                  <c:v>1757501</c:v>
                </c:pt>
                <c:pt idx="203">
                  <c:v>1757501</c:v>
                </c:pt>
                <c:pt idx="204">
                  <c:v>1757501</c:v>
                </c:pt>
                <c:pt idx="205">
                  <c:v>1757501</c:v>
                </c:pt>
                <c:pt idx="206">
                  <c:v>1757501</c:v>
                </c:pt>
                <c:pt idx="207">
                  <c:v>1757501</c:v>
                </c:pt>
                <c:pt idx="208">
                  <c:v>1757501</c:v>
                </c:pt>
                <c:pt idx="209">
                  <c:v>1757501</c:v>
                </c:pt>
                <c:pt idx="210">
                  <c:v>1757501</c:v>
                </c:pt>
                <c:pt idx="211">
                  <c:v>1757501</c:v>
                </c:pt>
                <c:pt idx="212">
                  <c:v>1757501</c:v>
                </c:pt>
                <c:pt idx="213">
                  <c:v>1757501</c:v>
                </c:pt>
                <c:pt idx="214">
                  <c:v>1757501</c:v>
                </c:pt>
                <c:pt idx="215">
                  <c:v>1757501</c:v>
                </c:pt>
                <c:pt idx="216">
                  <c:v>1757501</c:v>
                </c:pt>
                <c:pt idx="217">
                  <c:v>1757501</c:v>
                </c:pt>
                <c:pt idx="218">
                  <c:v>1757501</c:v>
                </c:pt>
                <c:pt idx="219">
                  <c:v>1757501</c:v>
                </c:pt>
                <c:pt idx="220">
                  <c:v>1757501</c:v>
                </c:pt>
                <c:pt idx="221">
                  <c:v>1757501</c:v>
                </c:pt>
                <c:pt idx="222">
                  <c:v>1757501</c:v>
                </c:pt>
                <c:pt idx="223">
                  <c:v>1757501</c:v>
                </c:pt>
                <c:pt idx="224">
                  <c:v>1757501</c:v>
                </c:pt>
                <c:pt idx="225">
                  <c:v>1757501</c:v>
                </c:pt>
                <c:pt idx="226">
                  <c:v>1757501</c:v>
                </c:pt>
                <c:pt idx="227">
                  <c:v>1757501</c:v>
                </c:pt>
                <c:pt idx="228">
                  <c:v>1757501</c:v>
                </c:pt>
                <c:pt idx="229">
                  <c:v>1757501</c:v>
                </c:pt>
                <c:pt idx="230">
                  <c:v>1757501</c:v>
                </c:pt>
                <c:pt idx="231">
                  <c:v>1757501</c:v>
                </c:pt>
                <c:pt idx="232">
                  <c:v>1757501</c:v>
                </c:pt>
                <c:pt idx="233">
                  <c:v>1757501</c:v>
                </c:pt>
                <c:pt idx="234">
                  <c:v>1757501</c:v>
                </c:pt>
                <c:pt idx="235">
                  <c:v>1757501</c:v>
                </c:pt>
                <c:pt idx="236">
                  <c:v>1757501</c:v>
                </c:pt>
                <c:pt idx="237">
                  <c:v>1757501</c:v>
                </c:pt>
                <c:pt idx="238">
                  <c:v>1757501</c:v>
                </c:pt>
                <c:pt idx="239">
                  <c:v>1757501</c:v>
                </c:pt>
                <c:pt idx="240">
                  <c:v>1757501</c:v>
                </c:pt>
                <c:pt idx="241">
                  <c:v>1757501</c:v>
                </c:pt>
                <c:pt idx="242">
                  <c:v>1757501</c:v>
                </c:pt>
                <c:pt idx="243">
                  <c:v>1757501</c:v>
                </c:pt>
                <c:pt idx="244">
                  <c:v>1757501</c:v>
                </c:pt>
                <c:pt idx="245">
                  <c:v>1757501</c:v>
                </c:pt>
                <c:pt idx="246">
                  <c:v>1757501</c:v>
                </c:pt>
                <c:pt idx="247">
                  <c:v>1757501</c:v>
                </c:pt>
                <c:pt idx="248">
                  <c:v>1757501</c:v>
                </c:pt>
                <c:pt idx="249">
                  <c:v>1757501</c:v>
                </c:pt>
                <c:pt idx="250">
                  <c:v>1757501</c:v>
                </c:pt>
                <c:pt idx="251">
                  <c:v>1757501</c:v>
                </c:pt>
                <c:pt idx="252">
                  <c:v>1757501</c:v>
                </c:pt>
                <c:pt idx="253">
                  <c:v>1757501</c:v>
                </c:pt>
                <c:pt idx="254">
                  <c:v>1757501</c:v>
                </c:pt>
                <c:pt idx="255">
                  <c:v>1757501</c:v>
                </c:pt>
                <c:pt idx="256">
                  <c:v>1757501</c:v>
                </c:pt>
                <c:pt idx="257">
                  <c:v>1757501</c:v>
                </c:pt>
                <c:pt idx="258">
                  <c:v>1757501</c:v>
                </c:pt>
                <c:pt idx="259">
                  <c:v>1757501</c:v>
                </c:pt>
                <c:pt idx="260">
                  <c:v>1757501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70-41B8-9CC0-CA3CA7D7A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917487"/>
        <c:axId val="1019933711"/>
      </c:lineChart>
      <c:dateAx>
        <c:axId val="1019917487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933711"/>
        <c:crosses val="autoZero"/>
        <c:auto val="1"/>
        <c:lblOffset val="100"/>
        <c:baseTimeUnit val="days"/>
      </c:dateAx>
      <c:valAx>
        <c:axId val="1019933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91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Vaccination Rate vs Poverty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59858958011573"/>
          <c:y val="7.4909202749409765E-2"/>
          <c:w val="0.86759622172360062"/>
          <c:h val="0.7873836747195455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 w="50800">
                <a:solidFill>
                  <a:schemeClr val="accent4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Counties!$E$2:$E$68</c:f>
              <c:numCache>
                <c:formatCode>General</c:formatCode>
                <c:ptCount val="67"/>
                <c:pt idx="0">
                  <c:v>21.8</c:v>
                </c:pt>
                <c:pt idx="1">
                  <c:v>14.6</c:v>
                </c:pt>
                <c:pt idx="2">
                  <c:v>14.7</c:v>
                </c:pt>
                <c:pt idx="3">
                  <c:v>20.3</c:v>
                </c:pt>
                <c:pt idx="4">
                  <c:v>12.7</c:v>
                </c:pt>
                <c:pt idx="5">
                  <c:v>13.5</c:v>
                </c:pt>
                <c:pt idx="6">
                  <c:v>12.2</c:v>
                </c:pt>
                <c:pt idx="7">
                  <c:v>11.1</c:v>
                </c:pt>
                <c:pt idx="8">
                  <c:v>16.7</c:v>
                </c:pt>
                <c:pt idx="9">
                  <c:v>10.6</c:v>
                </c:pt>
                <c:pt idx="10">
                  <c:v>12.3</c:v>
                </c:pt>
                <c:pt idx="11">
                  <c:v>17.399999999999999</c:v>
                </c:pt>
                <c:pt idx="12">
                  <c:v>28.5</c:v>
                </c:pt>
                <c:pt idx="13">
                  <c:v>23.1</c:v>
                </c:pt>
                <c:pt idx="14">
                  <c:v>15.5</c:v>
                </c:pt>
                <c:pt idx="15">
                  <c:v>13.9</c:v>
                </c:pt>
                <c:pt idx="16">
                  <c:v>11.9</c:v>
                </c:pt>
                <c:pt idx="17">
                  <c:v>20.7</c:v>
                </c:pt>
                <c:pt idx="18">
                  <c:v>24.6</c:v>
                </c:pt>
                <c:pt idx="19">
                  <c:v>17.899999999999999</c:v>
                </c:pt>
                <c:pt idx="20">
                  <c:v>17</c:v>
                </c:pt>
                <c:pt idx="21">
                  <c:v>13.9</c:v>
                </c:pt>
                <c:pt idx="22">
                  <c:v>29.5</c:v>
                </c:pt>
                <c:pt idx="23">
                  <c:v>26.7</c:v>
                </c:pt>
                <c:pt idx="24">
                  <c:v>26.8</c:v>
                </c:pt>
                <c:pt idx="25">
                  <c:v>14.3</c:v>
                </c:pt>
                <c:pt idx="26">
                  <c:v>19.2</c:v>
                </c:pt>
                <c:pt idx="27">
                  <c:v>15.3</c:v>
                </c:pt>
                <c:pt idx="28">
                  <c:v>25.6</c:v>
                </c:pt>
                <c:pt idx="29">
                  <c:v>12.2</c:v>
                </c:pt>
                <c:pt idx="30">
                  <c:v>20.6</c:v>
                </c:pt>
                <c:pt idx="31">
                  <c:v>14.1</c:v>
                </c:pt>
                <c:pt idx="32">
                  <c:v>20.100000000000001</c:v>
                </c:pt>
                <c:pt idx="33">
                  <c:v>12.5</c:v>
                </c:pt>
                <c:pt idx="34">
                  <c:v>14</c:v>
                </c:pt>
                <c:pt idx="35">
                  <c:v>20.399999999999999</c:v>
                </c:pt>
                <c:pt idx="36">
                  <c:v>20.7</c:v>
                </c:pt>
                <c:pt idx="37">
                  <c:v>13</c:v>
                </c:pt>
                <c:pt idx="38">
                  <c:v>28.2</c:v>
                </c:pt>
                <c:pt idx="39">
                  <c:v>12.5</c:v>
                </c:pt>
                <c:pt idx="40">
                  <c:v>16.600000000000001</c:v>
                </c:pt>
                <c:pt idx="41">
                  <c:v>10.5</c:v>
                </c:pt>
                <c:pt idx="42">
                  <c:v>18</c:v>
                </c:pt>
                <c:pt idx="43">
                  <c:v>11.8</c:v>
                </c:pt>
                <c:pt idx="44">
                  <c:v>10.199999999999999</c:v>
                </c:pt>
                <c:pt idx="45">
                  <c:v>11.5</c:v>
                </c:pt>
                <c:pt idx="46">
                  <c:v>22.7</c:v>
                </c:pt>
                <c:pt idx="47">
                  <c:v>16.100000000000001</c:v>
                </c:pt>
                <c:pt idx="48">
                  <c:v>16.3</c:v>
                </c:pt>
                <c:pt idx="49">
                  <c:v>12.8</c:v>
                </c:pt>
                <c:pt idx="50">
                  <c:v>13.5</c:v>
                </c:pt>
                <c:pt idx="51">
                  <c:v>13</c:v>
                </c:pt>
                <c:pt idx="52">
                  <c:v>16.600000000000001</c:v>
                </c:pt>
                <c:pt idx="53">
                  <c:v>24.8</c:v>
                </c:pt>
                <c:pt idx="54">
                  <c:v>9.8000000000000007</c:v>
                </c:pt>
                <c:pt idx="55">
                  <c:v>9.6999999999999993</c:v>
                </c:pt>
                <c:pt idx="56">
                  <c:v>11.4</c:v>
                </c:pt>
                <c:pt idx="57">
                  <c:v>8.4</c:v>
                </c:pt>
                <c:pt idx="58">
                  <c:v>15</c:v>
                </c:pt>
                <c:pt idx="59">
                  <c:v>8.8000000000000007</c:v>
                </c:pt>
                <c:pt idx="60">
                  <c:v>17.8</c:v>
                </c:pt>
                <c:pt idx="61">
                  <c:v>19.8</c:v>
                </c:pt>
                <c:pt idx="62">
                  <c:v>22</c:v>
                </c:pt>
                <c:pt idx="63">
                  <c:v>15.2</c:v>
                </c:pt>
                <c:pt idx="64">
                  <c:v>11.5</c:v>
                </c:pt>
                <c:pt idx="65">
                  <c:v>14.7</c:v>
                </c:pt>
                <c:pt idx="66">
                  <c:v>22.4</c:v>
                </c:pt>
              </c:numCache>
            </c:numRef>
          </c:xVal>
          <c:yVal>
            <c:numRef>
              <c:f>Counties!$J$2:$J$68</c:f>
              <c:numCache>
                <c:formatCode>0.00%</c:formatCode>
                <c:ptCount val="67"/>
                <c:pt idx="0">
                  <c:v>0.287437324145211</c:v>
                </c:pt>
                <c:pt idx="1">
                  <c:v>0.12440944881889764</c:v>
                </c:pt>
                <c:pt idx="2">
                  <c:v>0.21231218339486563</c:v>
                </c:pt>
                <c:pt idx="3">
                  <c:v>0.14070423034644161</c:v>
                </c:pt>
                <c:pt idx="4">
                  <c:v>0.25275026497569536</c:v>
                </c:pt>
                <c:pt idx="5">
                  <c:v>0.24648782401276539</c:v>
                </c:pt>
                <c:pt idx="6">
                  <c:v>0.14966323998582062</c:v>
                </c:pt>
                <c:pt idx="7">
                  <c:v>0.34876925520088931</c:v>
                </c:pt>
                <c:pt idx="8">
                  <c:v>0.28358847230667461</c:v>
                </c:pt>
                <c:pt idx="9">
                  <c:v>0.18578165763596227</c:v>
                </c:pt>
                <c:pt idx="10">
                  <c:v>0.31976191342211785</c:v>
                </c:pt>
                <c:pt idx="11">
                  <c:v>0.17870992941439054</c:v>
                </c:pt>
                <c:pt idx="12">
                  <c:v>0.16349569748164522</c:v>
                </c:pt>
                <c:pt idx="13">
                  <c:v>0.1511351479852609</c:v>
                </c:pt>
                <c:pt idx="14">
                  <c:v>0.24621223590584232</c:v>
                </c:pt>
                <c:pt idx="15">
                  <c:v>0.22937584035989395</c:v>
                </c:pt>
                <c:pt idx="16">
                  <c:v>0.30077945099538583</c:v>
                </c:pt>
                <c:pt idx="17">
                  <c:v>0.24865979381443298</c:v>
                </c:pt>
                <c:pt idx="18">
                  <c:v>0.25746824353920278</c:v>
                </c:pt>
                <c:pt idx="19">
                  <c:v>0.1519750295985362</c:v>
                </c:pt>
                <c:pt idx="20">
                  <c:v>0.13959887046557093</c:v>
                </c:pt>
                <c:pt idx="21">
                  <c:v>0.23953369015323703</c:v>
                </c:pt>
                <c:pt idx="22">
                  <c:v>0.1589270862212365</c:v>
                </c:pt>
                <c:pt idx="23">
                  <c:v>0.12195121951219512</c:v>
                </c:pt>
                <c:pt idx="24">
                  <c:v>0.15463328732568654</c:v>
                </c:pt>
                <c:pt idx="25">
                  <c:v>0.23416872937293728</c:v>
                </c:pt>
                <c:pt idx="26">
                  <c:v>0.23847450127564229</c:v>
                </c:pt>
                <c:pt idx="27">
                  <c:v>0.22109312158959976</c:v>
                </c:pt>
                <c:pt idx="28">
                  <c:v>0.13055003313452618</c:v>
                </c:pt>
                <c:pt idx="29">
                  <c:v>0.30318966002388648</c:v>
                </c:pt>
                <c:pt idx="30">
                  <c:v>0.18716335588400052</c:v>
                </c:pt>
                <c:pt idx="31">
                  <c:v>0.31475501895268848</c:v>
                </c:pt>
                <c:pt idx="32">
                  <c:v>0.16041320351460461</c:v>
                </c:pt>
                <c:pt idx="33">
                  <c:v>0.30516891026863296</c:v>
                </c:pt>
                <c:pt idx="34">
                  <c:v>0.25858285414695742</c:v>
                </c:pt>
                <c:pt idx="35">
                  <c:v>0.24923871354510835</c:v>
                </c:pt>
                <c:pt idx="36">
                  <c:v>0.19316675902946776</c:v>
                </c:pt>
                <c:pt idx="37">
                  <c:v>0.14041177878860425</c:v>
                </c:pt>
                <c:pt idx="38">
                  <c:v>0.20856540312550695</c:v>
                </c:pt>
                <c:pt idx="39">
                  <c:v>0.26108919214488174</c:v>
                </c:pt>
                <c:pt idx="40">
                  <c:v>0.25095806925452502</c:v>
                </c:pt>
                <c:pt idx="41">
                  <c:v>0.30480124223602484</c:v>
                </c:pt>
                <c:pt idx="42">
                  <c:v>0.26140474209956788</c:v>
                </c:pt>
                <c:pt idx="43">
                  <c:v>0.30590882146898746</c:v>
                </c:pt>
                <c:pt idx="44">
                  <c:v>0.29302115655853317</c:v>
                </c:pt>
                <c:pt idx="45">
                  <c:v>0.22036367432546575</c:v>
                </c:pt>
                <c:pt idx="46">
                  <c:v>0.17266647694934548</c:v>
                </c:pt>
                <c:pt idx="47">
                  <c:v>0.22466722929817459</c:v>
                </c:pt>
                <c:pt idx="48">
                  <c:v>0.20146852569919974</c:v>
                </c:pt>
                <c:pt idx="49">
                  <c:v>0.266149107745345</c:v>
                </c:pt>
                <c:pt idx="50">
                  <c:v>0.22868252738980444</c:v>
                </c:pt>
                <c:pt idx="51">
                  <c:v>0.29237658410906303</c:v>
                </c:pt>
                <c:pt idx="52">
                  <c:v>0.19699300612464249</c:v>
                </c:pt>
                <c:pt idx="53">
                  <c:v>0.16218247205485703</c:v>
                </c:pt>
                <c:pt idx="54">
                  <c:v>0.19733822356534808</c:v>
                </c:pt>
                <c:pt idx="55">
                  <c:v>0.34605825582950234</c:v>
                </c:pt>
                <c:pt idx="56">
                  <c:v>0.21879040154633275</c:v>
                </c:pt>
                <c:pt idx="57">
                  <c:v>0.33058275903760126</c:v>
                </c:pt>
                <c:pt idx="58">
                  <c:v>0.22108639433196162</c:v>
                </c:pt>
                <c:pt idx="59">
                  <c:v>0.54191209787041228</c:v>
                </c:pt>
                <c:pt idx="60">
                  <c:v>0.16937208726388545</c:v>
                </c:pt>
                <c:pt idx="61">
                  <c:v>0.15786545505123092</c:v>
                </c:pt>
                <c:pt idx="62">
                  <c:v>0.1120955568681499</c:v>
                </c:pt>
                <c:pt idx="63">
                  <c:v>0.24512366162766319</c:v>
                </c:pt>
                <c:pt idx="64">
                  <c:v>0.19763478467055928</c:v>
                </c:pt>
                <c:pt idx="65">
                  <c:v>0.19681116766345802</c:v>
                </c:pt>
                <c:pt idx="66">
                  <c:v>0.12440623405174106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6C-4786-9797-8B039B660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46864"/>
        <c:axId val="602333136"/>
      </c:scatterChart>
      <c:valAx>
        <c:axId val="60234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Poverty Rate</a:t>
                </a:r>
              </a:p>
            </c:rich>
          </c:tx>
          <c:layout>
            <c:manualLayout>
              <c:xMode val="edge"/>
              <c:yMode val="edge"/>
              <c:x val="0.46846814409003534"/>
              <c:y val="0.915685859165107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333136"/>
        <c:crosses val="autoZero"/>
        <c:crossBetween val="midCat"/>
      </c:valAx>
      <c:valAx>
        <c:axId val="60233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Vaccinated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34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Vaccination Rate vs Poverty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59858958011573"/>
          <c:y val="7.4909202749409765E-2"/>
          <c:w val="0.86759622172360062"/>
          <c:h val="0.7873836747195455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 w="50800">
                <a:solidFill>
                  <a:schemeClr val="accent4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Counties!$F$2:$F$68</c:f>
              <c:numCache>
                <c:formatCode>General</c:formatCode>
                <c:ptCount val="67"/>
                <c:pt idx="0">
                  <c:v>9.1999999999999993</c:v>
                </c:pt>
                <c:pt idx="1">
                  <c:v>12.5</c:v>
                </c:pt>
                <c:pt idx="2">
                  <c:v>14.2</c:v>
                </c:pt>
                <c:pt idx="3">
                  <c:v>12.4</c:v>
                </c:pt>
                <c:pt idx="4">
                  <c:v>10.8</c:v>
                </c:pt>
                <c:pt idx="5">
                  <c:v>14.6</c:v>
                </c:pt>
                <c:pt idx="6">
                  <c:v>18.3</c:v>
                </c:pt>
                <c:pt idx="7">
                  <c:v>11.3</c:v>
                </c:pt>
                <c:pt idx="8">
                  <c:v>10.4</c:v>
                </c:pt>
                <c:pt idx="9">
                  <c:v>10.4</c:v>
                </c:pt>
                <c:pt idx="10">
                  <c:v>16.5</c:v>
                </c:pt>
                <c:pt idx="11">
                  <c:v>12.4</c:v>
                </c:pt>
                <c:pt idx="12">
                  <c:v>18.399999999999999</c:v>
                </c:pt>
                <c:pt idx="13">
                  <c:v>17.2</c:v>
                </c:pt>
                <c:pt idx="14">
                  <c:v>12</c:v>
                </c:pt>
                <c:pt idx="15">
                  <c:v>10.199999999999999</c:v>
                </c:pt>
                <c:pt idx="16">
                  <c:v>12.7</c:v>
                </c:pt>
                <c:pt idx="17">
                  <c:v>18.3</c:v>
                </c:pt>
                <c:pt idx="18">
                  <c:v>14.9</c:v>
                </c:pt>
                <c:pt idx="19">
                  <c:v>18.100000000000001</c:v>
                </c:pt>
                <c:pt idx="20">
                  <c:v>19.899999999999999</c:v>
                </c:pt>
                <c:pt idx="21">
                  <c:v>11.4</c:v>
                </c:pt>
                <c:pt idx="22">
                  <c:v>14.3</c:v>
                </c:pt>
                <c:pt idx="23">
                  <c:v>12.2</c:v>
                </c:pt>
                <c:pt idx="24">
                  <c:v>26.2</c:v>
                </c:pt>
                <c:pt idx="25">
                  <c:v>12.6</c:v>
                </c:pt>
                <c:pt idx="26">
                  <c:v>12.7</c:v>
                </c:pt>
                <c:pt idx="27">
                  <c:v>13</c:v>
                </c:pt>
                <c:pt idx="28">
                  <c:v>18.899999999999999</c:v>
                </c:pt>
                <c:pt idx="29">
                  <c:v>12.1</c:v>
                </c:pt>
                <c:pt idx="30">
                  <c:v>11.3</c:v>
                </c:pt>
                <c:pt idx="31">
                  <c:v>6.4</c:v>
                </c:pt>
                <c:pt idx="32">
                  <c:v>17.600000000000001</c:v>
                </c:pt>
                <c:pt idx="33">
                  <c:v>11.6</c:v>
                </c:pt>
                <c:pt idx="34">
                  <c:v>14.3</c:v>
                </c:pt>
                <c:pt idx="35">
                  <c:v>8.1999999999999993</c:v>
                </c:pt>
                <c:pt idx="36">
                  <c:v>15.5</c:v>
                </c:pt>
                <c:pt idx="37">
                  <c:v>18.5</c:v>
                </c:pt>
                <c:pt idx="38">
                  <c:v>13.1</c:v>
                </c:pt>
                <c:pt idx="39">
                  <c:v>12.7</c:v>
                </c:pt>
                <c:pt idx="40">
                  <c:v>12.3</c:v>
                </c:pt>
                <c:pt idx="41">
                  <c:v>11.5</c:v>
                </c:pt>
                <c:pt idx="42">
                  <c:v>18.100000000000001</c:v>
                </c:pt>
                <c:pt idx="43">
                  <c:v>17.8</c:v>
                </c:pt>
                <c:pt idx="44">
                  <c:v>11</c:v>
                </c:pt>
                <c:pt idx="45">
                  <c:v>12.2</c:v>
                </c:pt>
                <c:pt idx="46">
                  <c:v>18.100000000000001</c:v>
                </c:pt>
                <c:pt idx="47">
                  <c:v>14.5</c:v>
                </c:pt>
                <c:pt idx="48">
                  <c:v>15.8</c:v>
                </c:pt>
                <c:pt idx="49">
                  <c:v>13.6</c:v>
                </c:pt>
                <c:pt idx="50">
                  <c:v>11.8</c:v>
                </c:pt>
                <c:pt idx="51">
                  <c:v>11.5</c:v>
                </c:pt>
                <c:pt idx="52">
                  <c:v>13.2</c:v>
                </c:pt>
                <c:pt idx="53">
                  <c:v>16</c:v>
                </c:pt>
                <c:pt idx="54">
                  <c:v>10</c:v>
                </c:pt>
                <c:pt idx="55">
                  <c:v>11.4</c:v>
                </c:pt>
                <c:pt idx="56">
                  <c:v>10.4</c:v>
                </c:pt>
                <c:pt idx="57">
                  <c:v>8.4</c:v>
                </c:pt>
                <c:pt idx="58">
                  <c:v>14</c:v>
                </c:pt>
                <c:pt idx="59">
                  <c:v>6.2</c:v>
                </c:pt>
                <c:pt idx="60">
                  <c:v>13.9</c:v>
                </c:pt>
                <c:pt idx="61">
                  <c:v>10.9</c:v>
                </c:pt>
                <c:pt idx="62">
                  <c:v>12.4</c:v>
                </c:pt>
                <c:pt idx="63">
                  <c:v>12.5</c:v>
                </c:pt>
                <c:pt idx="64">
                  <c:v>9</c:v>
                </c:pt>
                <c:pt idx="65">
                  <c:v>13.5</c:v>
                </c:pt>
                <c:pt idx="66">
                  <c:v>12.8</c:v>
                </c:pt>
              </c:numCache>
            </c:numRef>
          </c:xVal>
          <c:yVal>
            <c:numRef>
              <c:f>Counties!$J$2:$J$68</c:f>
              <c:numCache>
                <c:formatCode>0.00%</c:formatCode>
                <c:ptCount val="67"/>
                <c:pt idx="0">
                  <c:v>0.287437324145211</c:v>
                </c:pt>
                <c:pt idx="1">
                  <c:v>0.12440944881889764</c:v>
                </c:pt>
                <c:pt idx="2">
                  <c:v>0.21231218339486563</c:v>
                </c:pt>
                <c:pt idx="3">
                  <c:v>0.14070423034644161</c:v>
                </c:pt>
                <c:pt idx="4">
                  <c:v>0.25275026497569536</c:v>
                </c:pt>
                <c:pt idx="5">
                  <c:v>0.24648782401276539</c:v>
                </c:pt>
                <c:pt idx="6">
                  <c:v>0.14966323998582062</c:v>
                </c:pt>
                <c:pt idx="7">
                  <c:v>0.34876925520088931</c:v>
                </c:pt>
                <c:pt idx="8">
                  <c:v>0.28358847230667461</c:v>
                </c:pt>
                <c:pt idx="9">
                  <c:v>0.18578165763596227</c:v>
                </c:pt>
                <c:pt idx="10">
                  <c:v>0.31976191342211785</c:v>
                </c:pt>
                <c:pt idx="11">
                  <c:v>0.17870992941439054</c:v>
                </c:pt>
                <c:pt idx="12">
                  <c:v>0.16349569748164522</c:v>
                </c:pt>
                <c:pt idx="13">
                  <c:v>0.1511351479852609</c:v>
                </c:pt>
                <c:pt idx="14">
                  <c:v>0.24621223590584232</c:v>
                </c:pt>
                <c:pt idx="15">
                  <c:v>0.22937584035989395</c:v>
                </c:pt>
                <c:pt idx="16">
                  <c:v>0.30077945099538583</c:v>
                </c:pt>
                <c:pt idx="17">
                  <c:v>0.24865979381443298</c:v>
                </c:pt>
                <c:pt idx="18">
                  <c:v>0.25746824353920278</c:v>
                </c:pt>
                <c:pt idx="19">
                  <c:v>0.1519750295985362</c:v>
                </c:pt>
                <c:pt idx="20">
                  <c:v>0.13959887046557093</c:v>
                </c:pt>
                <c:pt idx="21">
                  <c:v>0.23953369015323703</c:v>
                </c:pt>
                <c:pt idx="22">
                  <c:v>0.1589270862212365</c:v>
                </c:pt>
                <c:pt idx="23">
                  <c:v>0.12195121951219512</c:v>
                </c:pt>
                <c:pt idx="24">
                  <c:v>0.15463328732568654</c:v>
                </c:pt>
                <c:pt idx="25">
                  <c:v>0.23416872937293728</c:v>
                </c:pt>
                <c:pt idx="26">
                  <c:v>0.23847450127564229</c:v>
                </c:pt>
                <c:pt idx="27">
                  <c:v>0.22109312158959976</c:v>
                </c:pt>
                <c:pt idx="28">
                  <c:v>0.13055003313452618</c:v>
                </c:pt>
                <c:pt idx="29">
                  <c:v>0.30318966002388648</c:v>
                </c:pt>
                <c:pt idx="30">
                  <c:v>0.18716335588400052</c:v>
                </c:pt>
                <c:pt idx="31">
                  <c:v>0.31475501895268848</c:v>
                </c:pt>
                <c:pt idx="32">
                  <c:v>0.16041320351460461</c:v>
                </c:pt>
                <c:pt idx="33">
                  <c:v>0.30516891026863296</c:v>
                </c:pt>
                <c:pt idx="34">
                  <c:v>0.25858285414695742</c:v>
                </c:pt>
                <c:pt idx="35">
                  <c:v>0.24923871354510835</c:v>
                </c:pt>
                <c:pt idx="36">
                  <c:v>0.19316675902946776</c:v>
                </c:pt>
                <c:pt idx="37">
                  <c:v>0.14041177878860425</c:v>
                </c:pt>
                <c:pt idx="38">
                  <c:v>0.20856540312550695</c:v>
                </c:pt>
                <c:pt idx="39">
                  <c:v>0.26108919214488174</c:v>
                </c:pt>
                <c:pt idx="40">
                  <c:v>0.25095806925452502</c:v>
                </c:pt>
                <c:pt idx="41">
                  <c:v>0.30480124223602484</c:v>
                </c:pt>
                <c:pt idx="42">
                  <c:v>0.26140474209956788</c:v>
                </c:pt>
                <c:pt idx="43">
                  <c:v>0.30590882146898746</c:v>
                </c:pt>
                <c:pt idx="44">
                  <c:v>0.29302115655853317</c:v>
                </c:pt>
                <c:pt idx="45">
                  <c:v>0.22036367432546575</c:v>
                </c:pt>
                <c:pt idx="46">
                  <c:v>0.17266647694934548</c:v>
                </c:pt>
                <c:pt idx="47">
                  <c:v>0.22466722929817459</c:v>
                </c:pt>
                <c:pt idx="48">
                  <c:v>0.20146852569919974</c:v>
                </c:pt>
                <c:pt idx="49">
                  <c:v>0.266149107745345</c:v>
                </c:pt>
                <c:pt idx="50">
                  <c:v>0.22868252738980444</c:v>
                </c:pt>
                <c:pt idx="51">
                  <c:v>0.29237658410906303</c:v>
                </c:pt>
                <c:pt idx="52">
                  <c:v>0.19699300612464249</c:v>
                </c:pt>
                <c:pt idx="53">
                  <c:v>0.16218247205485703</c:v>
                </c:pt>
                <c:pt idx="54">
                  <c:v>0.19733822356534808</c:v>
                </c:pt>
                <c:pt idx="55">
                  <c:v>0.34605825582950234</c:v>
                </c:pt>
                <c:pt idx="56">
                  <c:v>0.21879040154633275</c:v>
                </c:pt>
                <c:pt idx="57">
                  <c:v>0.33058275903760126</c:v>
                </c:pt>
                <c:pt idx="58">
                  <c:v>0.22108639433196162</c:v>
                </c:pt>
                <c:pt idx="59">
                  <c:v>0.54191209787041228</c:v>
                </c:pt>
                <c:pt idx="60">
                  <c:v>0.16937208726388545</c:v>
                </c:pt>
                <c:pt idx="61">
                  <c:v>0.15786545505123092</c:v>
                </c:pt>
                <c:pt idx="62">
                  <c:v>0.1120955568681499</c:v>
                </c:pt>
                <c:pt idx="63">
                  <c:v>0.24512366162766319</c:v>
                </c:pt>
                <c:pt idx="64">
                  <c:v>0.19763478467055928</c:v>
                </c:pt>
                <c:pt idx="65">
                  <c:v>0.19681116766345802</c:v>
                </c:pt>
                <c:pt idx="66">
                  <c:v>0.12440623405174106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93-4EA1-BF09-3B16CFB17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46864"/>
        <c:axId val="602333136"/>
      </c:scatterChart>
      <c:valAx>
        <c:axId val="60234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Uninsured</a:t>
                </a:r>
              </a:p>
            </c:rich>
          </c:tx>
          <c:layout>
            <c:manualLayout>
              <c:xMode val="edge"/>
              <c:yMode val="edge"/>
              <c:x val="0.45088059496693733"/>
              <c:y val="0.92174484024486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333136"/>
        <c:crosses val="autoZero"/>
        <c:crossBetween val="midCat"/>
      </c:valAx>
      <c:valAx>
        <c:axId val="60233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Vaccinated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34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Vaccination Rate vs Poverty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59858958011573"/>
          <c:y val="7.4909202749409765E-2"/>
          <c:w val="0.86759622172360062"/>
          <c:h val="0.7873836747195455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 w="50800">
                <a:solidFill>
                  <a:schemeClr val="accent4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Counties!$G$2:$G$68</c:f>
              <c:numCache>
                <c:formatCode>General</c:formatCode>
                <c:ptCount val="67"/>
                <c:pt idx="0">
                  <c:v>307.29000000000002</c:v>
                </c:pt>
                <c:pt idx="1">
                  <c:v>49.91</c:v>
                </c:pt>
                <c:pt idx="2">
                  <c:v>230.3</c:v>
                </c:pt>
                <c:pt idx="3">
                  <c:v>95.93</c:v>
                </c:pt>
                <c:pt idx="4">
                  <c:v>593.05999999999995</c:v>
                </c:pt>
                <c:pt idx="5">
                  <c:v>1623.5</c:v>
                </c:pt>
                <c:pt idx="6">
                  <c:v>24.86</c:v>
                </c:pt>
                <c:pt idx="7">
                  <c:v>277.36</c:v>
                </c:pt>
                <c:pt idx="8">
                  <c:v>257.18</c:v>
                </c:pt>
                <c:pt idx="9">
                  <c:v>362.63</c:v>
                </c:pt>
                <c:pt idx="10">
                  <c:v>192.75</c:v>
                </c:pt>
                <c:pt idx="11">
                  <c:v>89.88</c:v>
                </c:pt>
                <c:pt idx="12">
                  <c:v>59.68</c:v>
                </c:pt>
                <c:pt idx="13">
                  <c:v>23.86</c:v>
                </c:pt>
                <c:pt idx="14">
                  <c:v>1255.8599999999999</c:v>
                </c:pt>
                <c:pt idx="15">
                  <c:v>484.52</c:v>
                </c:pt>
                <c:pt idx="16">
                  <c:v>237.21</c:v>
                </c:pt>
                <c:pt idx="17">
                  <c:v>22.24</c:v>
                </c:pt>
                <c:pt idx="18">
                  <c:v>88.44</c:v>
                </c:pt>
                <c:pt idx="19">
                  <c:v>53.14</c:v>
                </c:pt>
                <c:pt idx="20">
                  <c:v>17.12</c:v>
                </c:pt>
                <c:pt idx="21">
                  <c:v>24.64</c:v>
                </c:pt>
                <c:pt idx="22">
                  <c:v>28.08</c:v>
                </c:pt>
                <c:pt idx="23">
                  <c:v>42.25</c:v>
                </c:pt>
                <c:pt idx="24">
                  <c:v>36.340000000000003</c:v>
                </c:pt>
                <c:pt idx="25">
                  <c:v>410.01</c:v>
                </c:pt>
                <c:pt idx="26">
                  <c:v>104.38</c:v>
                </c:pt>
                <c:pt idx="27">
                  <c:v>1440.39</c:v>
                </c:pt>
                <c:pt idx="28">
                  <c:v>40.97</c:v>
                </c:pt>
                <c:pt idx="29">
                  <c:v>318.08</c:v>
                </c:pt>
                <c:pt idx="30">
                  <c:v>50.55</c:v>
                </c:pt>
                <c:pt idx="31">
                  <c:v>23.82</c:v>
                </c:pt>
                <c:pt idx="32">
                  <c:v>15.5</c:v>
                </c:pt>
                <c:pt idx="33">
                  <c:v>386.13</c:v>
                </c:pt>
                <c:pt idx="34">
                  <c:v>986.08</c:v>
                </c:pt>
                <c:pt idx="35">
                  <c:v>440.23</c:v>
                </c:pt>
                <c:pt idx="36">
                  <c:v>37.119999999999997</c:v>
                </c:pt>
                <c:pt idx="37">
                  <c:v>10</c:v>
                </c:pt>
                <c:pt idx="38">
                  <c:v>26.55</c:v>
                </c:pt>
                <c:pt idx="39">
                  <c:v>542.28</c:v>
                </c:pt>
                <c:pt idx="40">
                  <c:v>230.15</c:v>
                </c:pt>
                <c:pt idx="41">
                  <c:v>296.05</c:v>
                </c:pt>
                <c:pt idx="42">
                  <c:v>1430.09</c:v>
                </c:pt>
                <c:pt idx="43">
                  <c:v>75.510000000000005</c:v>
                </c:pt>
                <c:pt idx="44">
                  <c:v>136.62</c:v>
                </c:pt>
                <c:pt idx="45">
                  <c:v>226.55</c:v>
                </c:pt>
                <c:pt idx="46">
                  <c:v>54.82</c:v>
                </c:pt>
                <c:pt idx="47">
                  <c:v>1545.08</c:v>
                </c:pt>
                <c:pt idx="48">
                  <c:v>283.04000000000002</c:v>
                </c:pt>
                <c:pt idx="49">
                  <c:v>761.99</c:v>
                </c:pt>
                <c:pt idx="50">
                  <c:v>741.98</c:v>
                </c:pt>
                <c:pt idx="51">
                  <c:v>3561.28</c:v>
                </c:pt>
                <c:pt idx="52">
                  <c:v>403.21</c:v>
                </c:pt>
                <c:pt idx="53">
                  <c:v>102.38</c:v>
                </c:pt>
                <c:pt idx="54">
                  <c:v>182.06</c:v>
                </c:pt>
                <c:pt idx="55">
                  <c:v>780.13</c:v>
                </c:pt>
                <c:pt idx="56">
                  <c:v>1525.34</c:v>
                </c:pt>
                <c:pt idx="57">
                  <c:v>440.71</c:v>
                </c:pt>
                <c:pt idx="58">
                  <c:v>574.29999999999995</c:v>
                </c:pt>
                <c:pt idx="59">
                  <c:v>237.68</c:v>
                </c:pt>
                <c:pt idx="60">
                  <c:v>64.510000000000005</c:v>
                </c:pt>
                <c:pt idx="61">
                  <c:v>20.67</c:v>
                </c:pt>
                <c:pt idx="62">
                  <c:v>62.56</c:v>
                </c:pt>
                <c:pt idx="63">
                  <c:v>502.42</c:v>
                </c:pt>
                <c:pt idx="64">
                  <c:v>55.64</c:v>
                </c:pt>
                <c:pt idx="65">
                  <c:v>71.38</c:v>
                </c:pt>
                <c:pt idx="66">
                  <c:v>43.57</c:v>
                </c:pt>
              </c:numCache>
            </c:numRef>
          </c:xVal>
          <c:yVal>
            <c:numRef>
              <c:f>Counties!$J$2:$J$68</c:f>
              <c:numCache>
                <c:formatCode>0.00%</c:formatCode>
                <c:ptCount val="67"/>
                <c:pt idx="0">
                  <c:v>0.287437324145211</c:v>
                </c:pt>
                <c:pt idx="1">
                  <c:v>0.12440944881889764</c:v>
                </c:pt>
                <c:pt idx="2">
                  <c:v>0.21231218339486563</c:v>
                </c:pt>
                <c:pt idx="3">
                  <c:v>0.14070423034644161</c:v>
                </c:pt>
                <c:pt idx="4">
                  <c:v>0.25275026497569536</c:v>
                </c:pt>
                <c:pt idx="5">
                  <c:v>0.24648782401276539</c:v>
                </c:pt>
                <c:pt idx="6">
                  <c:v>0.14966323998582062</c:v>
                </c:pt>
                <c:pt idx="7">
                  <c:v>0.34876925520088931</c:v>
                </c:pt>
                <c:pt idx="8">
                  <c:v>0.28358847230667461</c:v>
                </c:pt>
                <c:pt idx="9">
                  <c:v>0.18578165763596227</c:v>
                </c:pt>
                <c:pt idx="10">
                  <c:v>0.31976191342211785</c:v>
                </c:pt>
                <c:pt idx="11">
                  <c:v>0.17870992941439054</c:v>
                </c:pt>
                <c:pt idx="12">
                  <c:v>0.16349569748164522</c:v>
                </c:pt>
                <c:pt idx="13">
                  <c:v>0.1511351479852609</c:v>
                </c:pt>
                <c:pt idx="14">
                  <c:v>0.24621223590584232</c:v>
                </c:pt>
                <c:pt idx="15">
                  <c:v>0.22937584035989395</c:v>
                </c:pt>
                <c:pt idx="16">
                  <c:v>0.30077945099538583</c:v>
                </c:pt>
                <c:pt idx="17">
                  <c:v>0.24865979381443298</c:v>
                </c:pt>
                <c:pt idx="18">
                  <c:v>0.25746824353920278</c:v>
                </c:pt>
                <c:pt idx="19">
                  <c:v>0.1519750295985362</c:v>
                </c:pt>
                <c:pt idx="20">
                  <c:v>0.13959887046557093</c:v>
                </c:pt>
                <c:pt idx="21">
                  <c:v>0.23953369015323703</c:v>
                </c:pt>
                <c:pt idx="22">
                  <c:v>0.1589270862212365</c:v>
                </c:pt>
                <c:pt idx="23">
                  <c:v>0.12195121951219512</c:v>
                </c:pt>
                <c:pt idx="24">
                  <c:v>0.15463328732568654</c:v>
                </c:pt>
                <c:pt idx="25">
                  <c:v>0.23416872937293728</c:v>
                </c:pt>
                <c:pt idx="26">
                  <c:v>0.23847450127564229</c:v>
                </c:pt>
                <c:pt idx="27">
                  <c:v>0.22109312158959976</c:v>
                </c:pt>
                <c:pt idx="28">
                  <c:v>0.13055003313452618</c:v>
                </c:pt>
                <c:pt idx="29">
                  <c:v>0.30318966002388648</c:v>
                </c:pt>
                <c:pt idx="30">
                  <c:v>0.18716335588400052</c:v>
                </c:pt>
                <c:pt idx="31">
                  <c:v>0.31475501895268848</c:v>
                </c:pt>
                <c:pt idx="32">
                  <c:v>0.16041320351460461</c:v>
                </c:pt>
                <c:pt idx="33">
                  <c:v>0.30516891026863296</c:v>
                </c:pt>
                <c:pt idx="34">
                  <c:v>0.25858285414695742</c:v>
                </c:pt>
                <c:pt idx="35">
                  <c:v>0.24923871354510835</c:v>
                </c:pt>
                <c:pt idx="36">
                  <c:v>0.19316675902946776</c:v>
                </c:pt>
                <c:pt idx="37">
                  <c:v>0.14041177878860425</c:v>
                </c:pt>
                <c:pt idx="38">
                  <c:v>0.20856540312550695</c:v>
                </c:pt>
                <c:pt idx="39">
                  <c:v>0.26108919214488174</c:v>
                </c:pt>
                <c:pt idx="40">
                  <c:v>0.25095806925452502</c:v>
                </c:pt>
                <c:pt idx="41">
                  <c:v>0.30480124223602484</c:v>
                </c:pt>
                <c:pt idx="42">
                  <c:v>0.26140474209956788</c:v>
                </c:pt>
                <c:pt idx="43">
                  <c:v>0.30590882146898746</c:v>
                </c:pt>
                <c:pt idx="44">
                  <c:v>0.29302115655853317</c:v>
                </c:pt>
                <c:pt idx="45">
                  <c:v>0.22036367432546575</c:v>
                </c:pt>
                <c:pt idx="46">
                  <c:v>0.17266647694934548</c:v>
                </c:pt>
                <c:pt idx="47">
                  <c:v>0.22466722929817459</c:v>
                </c:pt>
                <c:pt idx="48">
                  <c:v>0.20146852569919974</c:v>
                </c:pt>
                <c:pt idx="49">
                  <c:v>0.266149107745345</c:v>
                </c:pt>
                <c:pt idx="50">
                  <c:v>0.22868252738980444</c:v>
                </c:pt>
                <c:pt idx="51">
                  <c:v>0.29237658410906303</c:v>
                </c:pt>
                <c:pt idx="52">
                  <c:v>0.19699300612464249</c:v>
                </c:pt>
                <c:pt idx="53">
                  <c:v>0.16218247205485703</c:v>
                </c:pt>
                <c:pt idx="54">
                  <c:v>0.19733822356534808</c:v>
                </c:pt>
                <c:pt idx="55">
                  <c:v>0.34605825582950234</c:v>
                </c:pt>
                <c:pt idx="56">
                  <c:v>0.21879040154633275</c:v>
                </c:pt>
                <c:pt idx="57">
                  <c:v>0.33058275903760126</c:v>
                </c:pt>
                <c:pt idx="58">
                  <c:v>0.22108639433196162</c:v>
                </c:pt>
                <c:pt idx="59">
                  <c:v>0.54191209787041228</c:v>
                </c:pt>
                <c:pt idx="60">
                  <c:v>0.16937208726388545</c:v>
                </c:pt>
                <c:pt idx="61">
                  <c:v>0.15786545505123092</c:v>
                </c:pt>
                <c:pt idx="62">
                  <c:v>0.1120955568681499</c:v>
                </c:pt>
                <c:pt idx="63">
                  <c:v>0.24512366162766319</c:v>
                </c:pt>
                <c:pt idx="64">
                  <c:v>0.19763478467055928</c:v>
                </c:pt>
                <c:pt idx="65">
                  <c:v>0.19681116766345802</c:v>
                </c:pt>
                <c:pt idx="66">
                  <c:v>0.12440623405174106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87-4244-9AD1-712949150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46864"/>
        <c:axId val="602333136"/>
      </c:scatterChart>
      <c:valAx>
        <c:axId val="60234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Population Density</a:t>
                </a:r>
              </a:p>
            </c:rich>
          </c:tx>
          <c:layout>
            <c:manualLayout>
              <c:xMode val="edge"/>
              <c:yMode val="edge"/>
              <c:x val="0.45088059496693733"/>
              <c:y val="0.92174484024486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333136"/>
        <c:crosses val="autoZero"/>
        <c:crossBetween val="midCat"/>
      </c:valAx>
      <c:valAx>
        <c:axId val="60233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Vaccinated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34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Country</a:t>
            </a:r>
            <a:r>
              <a:rPr lang="en-US" baseline="0"/>
              <a:t> Population vs Days to HIT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accent4">
                    <a:lumMod val="40000"/>
                    <a:lumOff val="6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Counties!$C$2:$C$68</c:f>
              <c:numCache>
                <c:formatCode>#,##0</c:formatCode>
                <c:ptCount val="67"/>
                <c:pt idx="0">
                  <c:v>269043</c:v>
                </c:pt>
                <c:pt idx="1">
                  <c:v>29210</c:v>
                </c:pt>
                <c:pt idx="2">
                  <c:v>174705</c:v>
                </c:pt>
                <c:pt idx="3">
                  <c:v>28201</c:v>
                </c:pt>
                <c:pt idx="4">
                  <c:v>601942</c:v>
                </c:pt>
                <c:pt idx="5">
                  <c:v>1952778</c:v>
                </c:pt>
                <c:pt idx="6">
                  <c:v>14105</c:v>
                </c:pt>
                <c:pt idx="7">
                  <c:v>188910</c:v>
                </c:pt>
                <c:pt idx="8">
                  <c:v>149657</c:v>
                </c:pt>
                <c:pt idx="9">
                  <c:v>219252</c:v>
                </c:pt>
                <c:pt idx="10">
                  <c:v>384902</c:v>
                </c:pt>
                <c:pt idx="11">
                  <c:v>71686</c:v>
                </c:pt>
                <c:pt idx="12">
                  <c:v>38001</c:v>
                </c:pt>
                <c:pt idx="13">
                  <c:v>16826</c:v>
                </c:pt>
                <c:pt idx="14">
                  <c:v>957755</c:v>
                </c:pt>
                <c:pt idx="15">
                  <c:v>318316</c:v>
                </c:pt>
                <c:pt idx="16">
                  <c:v>115081</c:v>
                </c:pt>
                <c:pt idx="17">
                  <c:v>12125</c:v>
                </c:pt>
                <c:pt idx="18">
                  <c:v>45660</c:v>
                </c:pt>
                <c:pt idx="19">
                  <c:v>18582</c:v>
                </c:pt>
                <c:pt idx="20">
                  <c:v>13811</c:v>
                </c:pt>
                <c:pt idx="21">
                  <c:v>13639</c:v>
                </c:pt>
                <c:pt idx="22">
                  <c:v>14428</c:v>
                </c:pt>
                <c:pt idx="23">
                  <c:v>26937</c:v>
                </c:pt>
                <c:pt idx="24">
                  <c:v>42022</c:v>
                </c:pt>
                <c:pt idx="25">
                  <c:v>193920</c:v>
                </c:pt>
                <c:pt idx="26">
                  <c:v>106221</c:v>
                </c:pt>
                <c:pt idx="27">
                  <c:v>1471968</c:v>
                </c:pt>
                <c:pt idx="28">
                  <c:v>19617</c:v>
                </c:pt>
                <c:pt idx="29">
                  <c:v>159923</c:v>
                </c:pt>
                <c:pt idx="30">
                  <c:v>46414</c:v>
                </c:pt>
                <c:pt idx="31">
                  <c:v>14246</c:v>
                </c:pt>
                <c:pt idx="32">
                  <c:v>8422</c:v>
                </c:pt>
                <c:pt idx="33">
                  <c:v>367118</c:v>
                </c:pt>
                <c:pt idx="34">
                  <c:v>770577</c:v>
                </c:pt>
                <c:pt idx="35">
                  <c:v>293582</c:v>
                </c:pt>
                <c:pt idx="36">
                  <c:v>41503</c:v>
                </c:pt>
                <c:pt idx="37">
                  <c:v>8354</c:v>
                </c:pt>
                <c:pt idx="38">
                  <c:v>18493</c:v>
                </c:pt>
                <c:pt idx="39">
                  <c:v>403253</c:v>
                </c:pt>
                <c:pt idx="40">
                  <c:v>365579</c:v>
                </c:pt>
                <c:pt idx="41">
                  <c:v>161000</c:v>
                </c:pt>
                <c:pt idx="42">
                  <c:v>2716940</c:v>
                </c:pt>
                <c:pt idx="43">
                  <c:v>74228</c:v>
                </c:pt>
                <c:pt idx="44">
                  <c:v>88625</c:v>
                </c:pt>
                <c:pt idx="45">
                  <c:v>210738</c:v>
                </c:pt>
                <c:pt idx="46">
                  <c:v>42168</c:v>
                </c:pt>
                <c:pt idx="47">
                  <c:v>1393452</c:v>
                </c:pt>
                <c:pt idx="48">
                  <c:v>375751</c:v>
                </c:pt>
                <c:pt idx="49">
                  <c:v>1496770</c:v>
                </c:pt>
                <c:pt idx="50">
                  <c:v>553947</c:v>
                </c:pt>
                <c:pt idx="51">
                  <c:v>974996</c:v>
                </c:pt>
                <c:pt idx="52">
                  <c:v>724777</c:v>
                </c:pt>
                <c:pt idx="53">
                  <c:v>74521</c:v>
                </c:pt>
                <c:pt idx="54">
                  <c:v>184313</c:v>
                </c:pt>
                <c:pt idx="55">
                  <c:v>433742</c:v>
                </c:pt>
                <c:pt idx="56">
                  <c:v>471826</c:v>
                </c:pt>
                <c:pt idx="57">
                  <c:v>264672</c:v>
                </c:pt>
                <c:pt idx="58">
                  <c:v>328297</c:v>
                </c:pt>
                <c:pt idx="59">
                  <c:v>132420</c:v>
                </c:pt>
                <c:pt idx="60">
                  <c:v>44417</c:v>
                </c:pt>
                <c:pt idx="61">
                  <c:v>21569</c:v>
                </c:pt>
                <c:pt idx="62">
                  <c:v>15237</c:v>
                </c:pt>
                <c:pt idx="63">
                  <c:v>553284</c:v>
                </c:pt>
                <c:pt idx="64">
                  <c:v>33739</c:v>
                </c:pt>
                <c:pt idx="65">
                  <c:v>74071</c:v>
                </c:pt>
                <c:pt idx="66">
                  <c:v>25473</c:v>
                </c:pt>
              </c:numCache>
            </c:numRef>
          </c:xVal>
          <c:yVal>
            <c:numRef>
              <c:f>Counties!$L$2:$L$68</c:f>
              <c:numCache>
                <c:formatCode>General</c:formatCode>
                <c:ptCount val="67"/>
                <c:pt idx="0">
                  <c:v>145</c:v>
                </c:pt>
                <c:pt idx="1">
                  <c:v>654</c:v>
                </c:pt>
                <c:pt idx="2">
                  <c:v>364</c:v>
                </c:pt>
                <c:pt idx="3">
                  <c:v>572</c:v>
                </c:pt>
                <c:pt idx="4">
                  <c:v>148</c:v>
                </c:pt>
                <c:pt idx="5">
                  <c:v>164</c:v>
                </c:pt>
                <c:pt idx="6">
                  <c:v>667</c:v>
                </c:pt>
                <c:pt idx="7">
                  <c:v>103</c:v>
                </c:pt>
                <c:pt idx="8">
                  <c:v>174</c:v>
                </c:pt>
                <c:pt idx="9">
                  <c:v>287</c:v>
                </c:pt>
                <c:pt idx="10">
                  <c:v>148</c:v>
                </c:pt>
                <c:pt idx="11">
                  <c:v>444</c:v>
                </c:pt>
                <c:pt idx="12">
                  <c:v>324</c:v>
                </c:pt>
                <c:pt idx="13">
                  <c:v>508</c:v>
                </c:pt>
                <c:pt idx="14">
                  <c:v>186</c:v>
                </c:pt>
                <c:pt idx="15">
                  <c:v>198</c:v>
                </c:pt>
                <c:pt idx="16">
                  <c:v>198</c:v>
                </c:pt>
                <c:pt idx="17">
                  <c:v>397</c:v>
                </c:pt>
                <c:pt idx="18">
                  <c:v>232</c:v>
                </c:pt>
                <c:pt idx="19">
                  <c:v>528</c:v>
                </c:pt>
                <c:pt idx="20">
                  <c:v>441</c:v>
                </c:pt>
                <c:pt idx="21">
                  <c:v>253</c:v>
                </c:pt>
                <c:pt idx="22">
                  <c:v>344</c:v>
                </c:pt>
                <c:pt idx="23">
                  <c:v>429</c:v>
                </c:pt>
                <c:pt idx="24">
                  <c:v>298</c:v>
                </c:pt>
                <c:pt idx="25">
                  <c:v>208</c:v>
                </c:pt>
                <c:pt idx="26">
                  <c:v>245</c:v>
                </c:pt>
                <c:pt idx="27">
                  <c:v>189</c:v>
                </c:pt>
                <c:pt idx="28">
                  <c:v>1271</c:v>
                </c:pt>
                <c:pt idx="29">
                  <c:v>220</c:v>
                </c:pt>
                <c:pt idx="30">
                  <c:v>657</c:v>
                </c:pt>
                <c:pt idx="31">
                  <c:v>260</c:v>
                </c:pt>
                <c:pt idx="32">
                  <c:v>679</c:v>
                </c:pt>
                <c:pt idx="33">
                  <c:v>122</c:v>
                </c:pt>
                <c:pt idx="34">
                  <c:v>148</c:v>
                </c:pt>
                <c:pt idx="35">
                  <c:v>162</c:v>
                </c:pt>
                <c:pt idx="36">
                  <c:v>258</c:v>
                </c:pt>
                <c:pt idx="37">
                  <c:v>708</c:v>
                </c:pt>
                <c:pt idx="38">
                  <c:v>353</c:v>
                </c:pt>
                <c:pt idx="39">
                  <c:v>162</c:v>
                </c:pt>
                <c:pt idx="40">
                  <c:v>213</c:v>
                </c:pt>
                <c:pt idx="41">
                  <c:v>213</c:v>
                </c:pt>
                <c:pt idx="42">
                  <c:v>161</c:v>
                </c:pt>
                <c:pt idx="43">
                  <c:v>122</c:v>
                </c:pt>
                <c:pt idx="44">
                  <c:v>198</c:v>
                </c:pt>
                <c:pt idx="45">
                  <c:v>281</c:v>
                </c:pt>
                <c:pt idx="46">
                  <c:v>307</c:v>
                </c:pt>
                <c:pt idx="47">
                  <c:v>189</c:v>
                </c:pt>
                <c:pt idx="48">
                  <c:v>193</c:v>
                </c:pt>
                <c:pt idx="49">
                  <c:v>210</c:v>
                </c:pt>
                <c:pt idx="50">
                  <c:v>205</c:v>
                </c:pt>
                <c:pt idx="51">
                  <c:v>132</c:v>
                </c:pt>
                <c:pt idx="52">
                  <c:v>242</c:v>
                </c:pt>
                <c:pt idx="53">
                  <c:v>319</c:v>
                </c:pt>
                <c:pt idx="54">
                  <c:v>286</c:v>
                </c:pt>
                <c:pt idx="55">
                  <c:v>121</c:v>
                </c:pt>
                <c:pt idx="56">
                  <c:v>207</c:v>
                </c:pt>
                <c:pt idx="57">
                  <c:v>136</c:v>
                </c:pt>
                <c:pt idx="58">
                  <c:v>262</c:v>
                </c:pt>
                <c:pt idx="59">
                  <c:v>96</c:v>
                </c:pt>
                <c:pt idx="60">
                  <c:v>440</c:v>
                </c:pt>
                <c:pt idx="61">
                  <c:v>423</c:v>
                </c:pt>
                <c:pt idx="62">
                  <c:v>596</c:v>
                </c:pt>
                <c:pt idx="63">
                  <c:v>239</c:v>
                </c:pt>
                <c:pt idx="64">
                  <c:v>396</c:v>
                </c:pt>
                <c:pt idx="65">
                  <c:v>403</c:v>
                </c:pt>
                <c:pt idx="66">
                  <c:v>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A7-4502-BA64-FA1839F66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236016"/>
        <c:axId val="1011236432"/>
      </c:scatterChart>
      <c:valAx>
        <c:axId val="101123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236432"/>
        <c:crosses val="autoZero"/>
        <c:crossBetween val="midCat"/>
      </c:valAx>
      <c:valAx>
        <c:axId val="101123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HIT 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236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Vaccination vs Poverty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'4-15'!$P$2:$P$68</c:f>
              <c:numCache>
                <c:formatCode>General</c:formatCode>
                <c:ptCount val="67"/>
                <c:pt idx="0">
                  <c:v>21.8</c:v>
                </c:pt>
                <c:pt idx="1">
                  <c:v>14.6</c:v>
                </c:pt>
                <c:pt idx="2">
                  <c:v>14.7</c:v>
                </c:pt>
                <c:pt idx="3">
                  <c:v>20.3</c:v>
                </c:pt>
                <c:pt idx="4">
                  <c:v>12.7</c:v>
                </c:pt>
                <c:pt idx="5">
                  <c:v>13.5</c:v>
                </c:pt>
                <c:pt idx="6">
                  <c:v>12.2</c:v>
                </c:pt>
                <c:pt idx="7">
                  <c:v>11.1</c:v>
                </c:pt>
                <c:pt idx="8">
                  <c:v>16.7</c:v>
                </c:pt>
                <c:pt idx="9">
                  <c:v>10.6</c:v>
                </c:pt>
                <c:pt idx="10">
                  <c:v>12.3</c:v>
                </c:pt>
                <c:pt idx="11">
                  <c:v>17.399999999999999</c:v>
                </c:pt>
                <c:pt idx="12">
                  <c:v>28.5</c:v>
                </c:pt>
                <c:pt idx="13">
                  <c:v>23.1</c:v>
                </c:pt>
                <c:pt idx="14">
                  <c:v>15.5</c:v>
                </c:pt>
                <c:pt idx="15">
                  <c:v>13.9</c:v>
                </c:pt>
                <c:pt idx="16">
                  <c:v>11.9</c:v>
                </c:pt>
                <c:pt idx="17">
                  <c:v>20.7</c:v>
                </c:pt>
                <c:pt idx="18">
                  <c:v>24.6</c:v>
                </c:pt>
                <c:pt idx="19">
                  <c:v>17.899999999999999</c:v>
                </c:pt>
                <c:pt idx="20">
                  <c:v>17</c:v>
                </c:pt>
                <c:pt idx="21">
                  <c:v>13.9</c:v>
                </c:pt>
                <c:pt idx="22">
                  <c:v>29.5</c:v>
                </c:pt>
                <c:pt idx="23">
                  <c:v>26.7</c:v>
                </c:pt>
                <c:pt idx="24">
                  <c:v>26.8</c:v>
                </c:pt>
                <c:pt idx="25">
                  <c:v>14.3</c:v>
                </c:pt>
                <c:pt idx="26">
                  <c:v>19.2</c:v>
                </c:pt>
                <c:pt idx="27">
                  <c:v>15.3</c:v>
                </c:pt>
                <c:pt idx="28">
                  <c:v>25.6</c:v>
                </c:pt>
                <c:pt idx="29">
                  <c:v>12.2</c:v>
                </c:pt>
                <c:pt idx="30">
                  <c:v>20.6</c:v>
                </c:pt>
                <c:pt idx="31">
                  <c:v>14.1</c:v>
                </c:pt>
                <c:pt idx="32">
                  <c:v>20.100000000000001</c:v>
                </c:pt>
                <c:pt idx="33">
                  <c:v>12.5</c:v>
                </c:pt>
                <c:pt idx="34">
                  <c:v>14</c:v>
                </c:pt>
                <c:pt idx="35">
                  <c:v>20.399999999999999</c:v>
                </c:pt>
                <c:pt idx="36">
                  <c:v>20.7</c:v>
                </c:pt>
                <c:pt idx="37">
                  <c:v>13</c:v>
                </c:pt>
                <c:pt idx="38">
                  <c:v>28.2</c:v>
                </c:pt>
                <c:pt idx="39">
                  <c:v>12.5</c:v>
                </c:pt>
                <c:pt idx="40">
                  <c:v>16.600000000000001</c:v>
                </c:pt>
                <c:pt idx="41">
                  <c:v>10.5</c:v>
                </c:pt>
                <c:pt idx="42">
                  <c:v>18</c:v>
                </c:pt>
                <c:pt idx="43">
                  <c:v>11.8</c:v>
                </c:pt>
                <c:pt idx="44">
                  <c:v>10.199999999999999</c:v>
                </c:pt>
                <c:pt idx="45">
                  <c:v>11.5</c:v>
                </c:pt>
                <c:pt idx="46">
                  <c:v>22.7</c:v>
                </c:pt>
                <c:pt idx="47">
                  <c:v>16.100000000000001</c:v>
                </c:pt>
                <c:pt idx="48">
                  <c:v>16.3</c:v>
                </c:pt>
                <c:pt idx="49">
                  <c:v>12.8</c:v>
                </c:pt>
                <c:pt idx="50">
                  <c:v>13.5</c:v>
                </c:pt>
                <c:pt idx="51">
                  <c:v>13</c:v>
                </c:pt>
                <c:pt idx="52">
                  <c:v>16.600000000000001</c:v>
                </c:pt>
                <c:pt idx="53">
                  <c:v>24.8</c:v>
                </c:pt>
                <c:pt idx="54">
                  <c:v>9.8000000000000007</c:v>
                </c:pt>
                <c:pt idx="55">
                  <c:v>9.6999999999999993</c:v>
                </c:pt>
                <c:pt idx="56">
                  <c:v>11.4</c:v>
                </c:pt>
                <c:pt idx="57">
                  <c:v>8.4</c:v>
                </c:pt>
                <c:pt idx="58">
                  <c:v>15</c:v>
                </c:pt>
                <c:pt idx="59">
                  <c:v>8.8000000000000007</c:v>
                </c:pt>
                <c:pt idx="60">
                  <c:v>17.8</c:v>
                </c:pt>
                <c:pt idx="61">
                  <c:v>19.8</c:v>
                </c:pt>
                <c:pt idx="62">
                  <c:v>22</c:v>
                </c:pt>
                <c:pt idx="63">
                  <c:v>15.2</c:v>
                </c:pt>
                <c:pt idx="64">
                  <c:v>11.5</c:v>
                </c:pt>
                <c:pt idx="65">
                  <c:v>14.7</c:v>
                </c:pt>
                <c:pt idx="66">
                  <c:v>22.4</c:v>
                </c:pt>
              </c:numCache>
            </c:numRef>
          </c:xVal>
          <c:yVal>
            <c:numRef>
              <c:f>'4-15'!$G$2:$G$68</c:f>
              <c:numCache>
                <c:formatCode>0.00%</c:formatCode>
                <c:ptCount val="67"/>
                <c:pt idx="0">
                  <c:v>0.253</c:v>
                </c:pt>
                <c:pt idx="1">
                  <c:v>0.115</c:v>
                </c:pt>
                <c:pt idx="2">
                  <c:v>0.19700000000000001</c:v>
                </c:pt>
                <c:pt idx="3" formatCode="0%">
                  <c:v>0.13</c:v>
                </c:pt>
                <c:pt idx="4">
                  <c:v>0.217</c:v>
                </c:pt>
                <c:pt idx="5">
                  <c:v>0.214</c:v>
                </c:pt>
                <c:pt idx="6">
                  <c:v>0.14099999999999999</c:v>
                </c:pt>
                <c:pt idx="7">
                  <c:v>0.30399999999999999</c:v>
                </c:pt>
                <c:pt idx="8">
                  <c:v>0.255</c:v>
                </c:pt>
                <c:pt idx="9">
                  <c:v>0.16600000000000001</c:v>
                </c:pt>
                <c:pt idx="10">
                  <c:v>0.28699999999999998</c:v>
                </c:pt>
                <c:pt idx="11">
                  <c:v>0.16600000000000001</c:v>
                </c:pt>
                <c:pt idx="12">
                  <c:v>0.14499999999999999</c:v>
                </c:pt>
                <c:pt idx="13">
                  <c:v>0.13900000000000001</c:v>
                </c:pt>
                <c:pt idx="14">
                  <c:v>0.218</c:v>
                </c:pt>
                <c:pt idx="15">
                  <c:v>0.20200000000000001</c:v>
                </c:pt>
                <c:pt idx="16">
                  <c:v>0.27600000000000002</c:v>
                </c:pt>
                <c:pt idx="17">
                  <c:v>0.23499999999999999</c:v>
                </c:pt>
                <c:pt idx="18">
                  <c:v>0.23499999999999999</c:v>
                </c:pt>
                <c:pt idx="19">
                  <c:v>0.14099999999999999</c:v>
                </c:pt>
                <c:pt idx="20">
                  <c:v>0.126</c:v>
                </c:pt>
                <c:pt idx="21">
                  <c:v>0.218</c:v>
                </c:pt>
                <c:pt idx="22">
                  <c:v>0.14199999999999999</c:v>
                </c:pt>
                <c:pt idx="23">
                  <c:v>0.108</c:v>
                </c:pt>
                <c:pt idx="24">
                  <c:v>0.13500000000000001</c:v>
                </c:pt>
                <c:pt idx="25">
                  <c:v>0.20799999999999999</c:v>
                </c:pt>
                <c:pt idx="26">
                  <c:v>0.217</c:v>
                </c:pt>
                <c:pt idx="27">
                  <c:v>0.192</c:v>
                </c:pt>
                <c:pt idx="28">
                  <c:v>0.126</c:v>
                </c:pt>
                <c:pt idx="29">
                  <c:v>0.28100000000000003</c:v>
                </c:pt>
                <c:pt idx="30">
                  <c:v>0.17899999999999999</c:v>
                </c:pt>
                <c:pt idx="31">
                  <c:v>0.29599999999999999</c:v>
                </c:pt>
                <c:pt idx="32">
                  <c:v>0.152</c:v>
                </c:pt>
                <c:pt idx="33">
                  <c:v>0.26500000000000001</c:v>
                </c:pt>
                <c:pt idx="34">
                  <c:v>0.223</c:v>
                </c:pt>
                <c:pt idx="35">
                  <c:v>0.217</c:v>
                </c:pt>
                <c:pt idx="36">
                  <c:v>0.17100000000000001</c:v>
                </c:pt>
                <c:pt idx="37">
                  <c:v>0.13200000000000001</c:v>
                </c:pt>
                <c:pt idx="38">
                  <c:v>0.193</c:v>
                </c:pt>
                <c:pt idx="39">
                  <c:v>0.22900000000000001</c:v>
                </c:pt>
                <c:pt idx="40">
                  <c:v>0.22600000000000001</c:v>
                </c:pt>
                <c:pt idx="41">
                  <c:v>0.28199999999999997</c:v>
                </c:pt>
                <c:pt idx="42">
                  <c:v>0.22900000000000001</c:v>
                </c:pt>
                <c:pt idx="43">
                  <c:v>0.26600000000000001</c:v>
                </c:pt>
                <c:pt idx="44">
                  <c:v>0.26800000000000002</c:v>
                </c:pt>
                <c:pt idx="45">
                  <c:v>0.20100000000000001</c:v>
                </c:pt>
                <c:pt idx="46">
                  <c:v>0.154</c:v>
                </c:pt>
                <c:pt idx="47">
                  <c:v>0.19600000000000001</c:v>
                </c:pt>
                <c:pt idx="48">
                  <c:v>0.17199999999999999</c:v>
                </c:pt>
                <c:pt idx="49">
                  <c:v>0.24199999999999999</c:v>
                </c:pt>
                <c:pt idx="50">
                  <c:v>0.20200000000000001</c:v>
                </c:pt>
                <c:pt idx="51">
                  <c:v>0.255</c:v>
                </c:pt>
                <c:pt idx="52">
                  <c:v>0.17399999999999999</c:v>
                </c:pt>
                <c:pt idx="53">
                  <c:v>0.14399999999999999</c:v>
                </c:pt>
                <c:pt idx="54">
                  <c:v>0.17799999999999999</c:v>
                </c:pt>
                <c:pt idx="55">
                  <c:v>0.308</c:v>
                </c:pt>
                <c:pt idx="56">
                  <c:v>0.192</c:v>
                </c:pt>
                <c:pt idx="57">
                  <c:v>0.29599999999999999</c:v>
                </c:pt>
                <c:pt idx="58" formatCode="0%">
                  <c:v>0.2</c:v>
                </c:pt>
                <c:pt idx="59">
                  <c:v>0.50800000000000001</c:v>
                </c:pt>
                <c:pt idx="60">
                  <c:v>0.156</c:v>
                </c:pt>
                <c:pt idx="61">
                  <c:v>0.14399999999999999</c:v>
                </c:pt>
                <c:pt idx="62">
                  <c:v>0.10199999999999999</c:v>
                </c:pt>
                <c:pt idx="63">
                  <c:v>0.223</c:v>
                </c:pt>
                <c:pt idx="64">
                  <c:v>0.183</c:v>
                </c:pt>
                <c:pt idx="65">
                  <c:v>0.183</c:v>
                </c:pt>
                <c:pt idx="66">
                  <c:v>0.115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98-4C66-B2E9-91D2A10C9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057984"/>
        <c:axId val="1497059648"/>
      </c:scatterChart>
      <c:valAx>
        <c:axId val="149705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Poverty</a:t>
                </a:r>
                <a:r>
                  <a:rPr lang="en-US" baseline="0"/>
                  <a:t>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059648"/>
        <c:crosses val="autoZero"/>
        <c:crossBetween val="midCat"/>
      </c:valAx>
      <c:valAx>
        <c:axId val="149705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Vaccinated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05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Vaccination vs 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'4-15'!$Q$2:$Q$68</c:f>
              <c:numCache>
                <c:formatCode>General</c:formatCode>
                <c:ptCount val="67"/>
                <c:pt idx="0">
                  <c:v>14.6</c:v>
                </c:pt>
                <c:pt idx="1">
                  <c:v>14.09</c:v>
                </c:pt>
                <c:pt idx="2">
                  <c:v>18.62</c:v>
                </c:pt>
                <c:pt idx="3">
                  <c:v>17.96</c:v>
                </c:pt>
                <c:pt idx="4">
                  <c:v>24.21</c:v>
                </c:pt>
                <c:pt idx="5">
                  <c:v>17.13</c:v>
                </c:pt>
                <c:pt idx="6">
                  <c:v>18.93</c:v>
                </c:pt>
                <c:pt idx="7">
                  <c:v>40.799999999999997</c:v>
                </c:pt>
                <c:pt idx="8">
                  <c:v>36.71</c:v>
                </c:pt>
                <c:pt idx="9">
                  <c:v>16.350000000000001</c:v>
                </c:pt>
                <c:pt idx="10">
                  <c:v>32.92</c:v>
                </c:pt>
                <c:pt idx="11">
                  <c:v>19.260000000000002</c:v>
                </c:pt>
                <c:pt idx="12">
                  <c:v>22.52</c:v>
                </c:pt>
                <c:pt idx="13">
                  <c:v>23.68</c:v>
                </c:pt>
                <c:pt idx="14">
                  <c:v>14.47</c:v>
                </c:pt>
                <c:pt idx="15">
                  <c:v>17.14</c:v>
                </c:pt>
                <c:pt idx="16">
                  <c:v>31.19</c:v>
                </c:pt>
                <c:pt idx="17">
                  <c:v>24.13</c:v>
                </c:pt>
                <c:pt idx="18">
                  <c:v>18.7</c:v>
                </c:pt>
                <c:pt idx="19">
                  <c:v>20.65</c:v>
                </c:pt>
                <c:pt idx="20">
                  <c:v>27.57</c:v>
                </c:pt>
                <c:pt idx="21">
                  <c:v>26.5</c:v>
                </c:pt>
                <c:pt idx="22">
                  <c:v>18.46</c:v>
                </c:pt>
                <c:pt idx="23">
                  <c:v>17.43</c:v>
                </c:pt>
                <c:pt idx="24">
                  <c:v>13.75</c:v>
                </c:pt>
                <c:pt idx="25">
                  <c:v>27.51</c:v>
                </c:pt>
                <c:pt idx="26">
                  <c:v>36.049999999999997</c:v>
                </c:pt>
                <c:pt idx="27">
                  <c:v>14.54</c:v>
                </c:pt>
                <c:pt idx="28">
                  <c:v>19.989999999999998</c:v>
                </c:pt>
                <c:pt idx="29">
                  <c:v>33.85</c:v>
                </c:pt>
                <c:pt idx="30">
                  <c:v>20.62</c:v>
                </c:pt>
                <c:pt idx="31">
                  <c:v>24.65</c:v>
                </c:pt>
                <c:pt idx="32">
                  <c:v>17.28</c:v>
                </c:pt>
                <c:pt idx="33">
                  <c:v>27.07</c:v>
                </c:pt>
                <c:pt idx="34">
                  <c:v>29.15</c:v>
                </c:pt>
                <c:pt idx="35">
                  <c:v>13.89</c:v>
                </c:pt>
                <c:pt idx="36">
                  <c:v>25.15</c:v>
                </c:pt>
                <c:pt idx="37">
                  <c:v>15.04</c:v>
                </c:pt>
                <c:pt idx="38">
                  <c:v>21.1</c:v>
                </c:pt>
                <c:pt idx="39">
                  <c:v>28.06</c:v>
                </c:pt>
                <c:pt idx="40">
                  <c:v>29.18</c:v>
                </c:pt>
                <c:pt idx="41">
                  <c:v>31.53</c:v>
                </c:pt>
                <c:pt idx="42">
                  <c:v>16.66</c:v>
                </c:pt>
                <c:pt idx="43">
                  <c:v>23.75</c:v>
                </c:pt>
                <c:pt idx="44">
                  <c:v>22.83</c:v>
                </c:pt>
                <c:pt idx="45">
                  <c:v>16.309999999999999</c:v>
                </c:pt>
                <c:pt idx="46">
                  <c:v>20.12</c:v>
                </c:pt>
                <c:pt idx="47">
                  <c:v>12.31</c:v>
                </c:pt>
                <c:pt idx="48">
                  <c:v>13.52</c:v>
                </c:pt>
                <c:pt idx="49">
                  <c:v>24.36</c:v>
                </c:pt>
                <c:pt idx="50">
                  <c:v>22.65</c:v>
                </c:pt>
                <c:pt idx="51">
                  <c:v>25.4</c:v>
                </c:pt>
                <c:pt idx="52">
                  <c:v>20.440000000000001</c:v>
                </c:pt>
                <c:pt idx="53">
                  <c:v>23.72</c:v>
                </c:pt>
                <c:pt idx="54">
                  <c:v>16.34</c:v>
                </c:pt>
                <c:pt idx="55">
                  <c:v>37.340000000000003</c:v>
                </c:pt>
                <c:pt idx="56">
                  <c:v>15.98</c:v>
                </c:pt>
                <c:pt idx="57">
                  <c:v>20.65</c:v>
                </c:pt>
                <c:pt idx="58">
                  <c:v>24.65</c:v>
                </c:pt>
                <c:pt idx="59">
                  <c:v>58.17</c:v>
                </c:pt>
                <c:pt idx="60">
                  <c:v>21.73</c:v>
                </c:pt>
                <c:pt idx="61">
                  <c:v>20.98</c:v>
                </c:pt>
                <c:pt idx="62">
                  <c:v>15.21</c:v>
                </c:pt>
                <c:pt idx="63">
                  <c:v>24.91</c:v>
                </c:pt>
                <c:pt idx="64">
                  <c:v>15.9</c:v>
                </c:pt>
                <c:pt idx="65">
                  <c:v>20.22</c:v>
                </c:pt>
                <c:pt idx="66">
                  <c:v>17.2</c:v>
                </c:pt>
              </c:numCache>
            </c:numRef>
          </c:xVal>
          <c:yVal>
            <c:numRef>
              <c:f>'4-15'!$G$2:$G$68</c:f>
              <c:numCache>
                <c:formatCode>0.00%</c:formatCode>
                <c:ptCount val="67"/>
                <c:pt idx="0">
                  <c:v>0.253</c:v>
                </c:pt>
                <c:pt idx="1">
                  <c:v>0.115</c:v>
                </c:pt>
                <c:pt idx="2">
                  <c:v>0.19700000000000001</c:v>
                </c:pt>
                <c:pt idx="3" formatCode="0%">
                  <c:v>0.13</c:v>
                </c:pt>
                <c:pt idx="4">
                  <c:v>0.217</c:v>
                </c:pt>
                <c:pt idx="5">
                  <c:v>0.214</c:v>
                </c:pt>
                <c:pt idx="6">
                  <c:v>0.14099999999999999</c:v>
                </c:pt>
                <c:pt idx="7">
                  <c:v>0.30399999999999999</c:v>
                </c:pt>
                <c:pt idx="8">
                  <c:v>0.255</c:v>
                </c:pt>
                <c:pt idx="9">
                  <c:v>0.16600000000000001</c:v>
                </c:pt>
                <c:pt idx="10">
                  <c:v>0.28699999999999998</c:v>
                </c:pt>
                <c:pt idx="11">
                  <c:v>0.16600000000000001</c:v>
                </c:pt>
                <c:pt idx="12">
                  <c:v>0.14499999999999999</c:v>
                </c:pt>
                <c:pt idx="13">
                  <c:v>0.13900000000000001</c:v>
                </c:pt>
                <c:pt idx="14">
                  <c:v>0.218</c:v>
                </c:pt>
                <c:pt idx="15">
                  <c:v>0.20200000000000001</c:v>
                </c:pt>
                <c:pt idx="16">
                  <c:v>0.27600000000000002</c:v>
                </c:pt>
                <c:pt idx="17">
                  <c:v>0.23499999999999999</c:v>
                </c:pt>
                <c:pt idx="18">
                  <c:v>0.23499999999999999</c:v>
                </c:pt>
                <c:pt idx="19">
                  <c:v>0.14099999999999999</c:v>
                </c:pt>
                <c:pt idx="20">
                  <c:v>0.126</c:v>
                </c:pt>
                <c:pt idx="21">
                  <c:v>0.218</c:v>
                </c:pt>
                <c:pt idx="22">
                  <c:v>0.14199999999999999</c:v>
                </c:pt>
                <c:pt idx="23">
                  <c:v>0.108</c:v>
                </c:pt>
                <c:pt idx="24">
                  <c:v>0.13500000000000001</c:v>
                </c:pt>
                <c:pt idx="25">
                  <c:v>0.20799999999999999</c:v>
                </c:pt>
                <c:pt idx="26">
                  <c:v>0.217</c:v>
                </c:pt>
                <c:pt idx="27">
                  <c:v>0.192</c:v>
                </c:pt>
                <c:pt idx="28">
                  <c:v>0.126</c:v>
                </c:pt>
                <c:pt idx="29">
                  <c:v>0.28100000000000003</c:v>
                </c:pt>
                <c:pt idx="30">
                  <c:v>0.17899999999999999</c:v>
                </c:pt>
                <c:pt idx="31">
                  <c:v>0.29599999999999999</c:v>
                </c:pt>
                <c:pt idx="32">
                  <c:v>0.152</c:v>
                </c:pt>
                <c:pt idx="33">
                  <c:v>0.26500000000000001</c:v>
                </c:pt>
                <c:pt idx="34">
                  <c:v>0.223</c:v>
                </c:pt>
                <c:pt idx="35">
                  <c:v>0.217</c:v>
                </c:pt>
                <c:pt idx="36">
                  <c:v>0.17100000000000001</c:v>
                </c:pt>
                <c:pt idx="37">
                  <c:v>0.13200000000000001</c:v>
                </c:pt>
                <c:pt idx="38">
                  <c:v>0.193</c:v>
                </c:pt>
                <c:pt idx="39">
                  <c:v>0.22900000000000001</c:v>
                </c:pt>
                <c:pt idx="40">
                  <c:v>0.22600000000000001</c:v>
                </c:pt>
                <c:pt idx="41">
                  <c:v>0.28199999999999997</c:v>
                </c:pt>
                <c:pt idx="42">
                  <c:v>0.22900000000000001</c:v>
                </c:pt>
                <c:pt idx="43">
                  <c:v>0.26600000000000001</c:v>
                </c:pt>
                <c:pt idx="44">
                  <c:v>0.26800000000000002</c:v>
                </c:pt>
                <c:pt idx="45">
                  <c:v>0.20100000000000001</c:v>
                </c:pt>
                <c:pt idx="46">
                  <c:v>0.154</c:v>
                </c:pt>
                <c:pt idx="47">
                  <c:v>0.19600000000000001</c:v>
                </c:pt>
                <c:pt idx="48">
                  <c:v>0.17199999999999999</c:v>
                </c:pt>
                <c:pt idx="49">
                  <c:v>0.24199999999999999</c:v>
                </c:pt>
                <c:pt idx="50">
                  <c:v>0.20200000000000001</c:v>
                </c:pt>
                <c:pt idx="51">
                  <c:v>0.255</c:v>
                </c:pt>
                <c:pt idx="52">
                  <c:v>0.17399999999999999</c:v>
                </c:pt>
                <c:pt idx="53">
                  <c:v>0.14399999999999999</c:v>
                </c:pt>
                <c:pt idx="54">
                  <c:v>0.17799999999999999</c:v>
                </c:pt>
                <c:pt idx="55">
                  <c:v>0.308</c:v>
                </c:pt>
                <c:pt idx="56">
                  <c:v>0.192</c:v>
                </c:pt>
                <c:pt idx="57">
                  <c:v>0.29599999999999999</c:v>
                </c:pt>
                <c:pt idx="58" formatCode="0%">
                  <c:v>0.2</c:v>
                </c:pt>
                <c:pt idx="59">
                  <c:v>0.50800000000000001</c:v>
                </c:pt>
                <c:pt idx="60">
                  <c:v>0.156</c:v>
                </c:pt>
                <c:pt idx="61">
                  <c:v>0.14399999999999999</c:v>
                </c:pt>
                <c:pt idx="62">
                  <c:v>0.10199999999999999</c:v>
                </c:pt>
                <c:pt idx="63">
                  <c:v>0.223</c:v>
                </c:pt>
                <c:pt idx="64">
                  <c:v>0.183</c:v>
                </c:pt>
                <c:pt idx="65">
                  <c:v>0.183</c:v>
                </c:pt>
                <c:pt idx="66">
                  <c:v>0.115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CB-415D-8044-4111CE9DB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057984"/>
        <c:axId val="1497059648"/>
      </c:scatterChart>
      <c:valAx>
        <c:axId val="149705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  <a:r>
                  <a:rPr lang="en-US" baseline="0"/>
                  <a:t> Over 65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059648"/>
        <c:crosses val="autoZero"/>
        <c:crossBetween val="midCat"/>
      </c:valAx>
      <c:valAx>
        <c:axId val="149705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Vaccinated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05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vs Poverty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'4-15'!$P$2:$P$68</c:f>
              <c:numCache>
                <c:formatCode>General</c:formatCode>
                <c:ptCount val="67"/>
                <c:pt idx="0">
                  <c:v>21.8</c:v>
                </c:pt>
                <c:pt idx="1">
                  <c:v>14.6</c:v>
                </c:pt>
                <c:pt idx="2">
                  <c:v>14.7</c:v>
                </c:pt>
                <c:pt idx="3">
                  <c:v>20.3</c:v>
                </c:pt>
                <c:pt idx="4">
                  <c:v>12.7</c:v>
                </c:pt>
                <c:pt idx="5">
                  <c:v>13.5</c:v>
                </c:pt>
                <c:pt idx="6">
                  <c:v>12.2</c:v>
                </c:pt>
                <c:pt idx="7">
                  <c:v>11.1</c:v>
                </c:pt>
                <c:pt idx="8">
                  <c:v>16.7</c:v>
                </c:pt>
                <c:pt idx="9">
                  <c:v>10.6</c:v>
                </c:pt>
                <c:pt idx="10">
                  <c:v>12.3</c:v>
                </c:pt>
                <c:pt idx="11">
                  <c:v>17.399999999999999</c:v>
                </c:pt>
                <c:pt idx="12">
                  <c:v>28.5</c:v>
                </c:pt>
                <c:pt idx="13">
                  <c:v>23.1</c:v>
                </c:pt>
                <c:pt idx="14">
                  <c:v>15.5</c:v>
                </c:pt>
                <c:pt idx="15">
                  <c:v>13.9</c:v>
                </c:pt>
                <c:pt idx="16">
                  <c:v>11.9</c:v>
                </c:pt>
                <c:pt idx="17">
                  <c:v>20.7</c:v>
                </c:pt>
                <c:pt idx="18">
                  <c:v>24.6</c:v>
                </c:pt>
                <c:pt idx="19">
                  <c:v>17.899999999999999</c:v>
                </c:pt>
                <c:pt idx="20">
                  <c:v>17</c:v>
                </c:pt>
                <c:pt idx="21">
                  <c:v>13.9</c:v>
                </c:pt>
                <c:pt idx="22">
                  <c:v>29.5</c:v>
                </c:pt>
                <c:pt idx="23">
                  <c:v>26.7</c:v>
                </c:pt>
                <c:pt idx="24">
                  <c:v>26.8</c:v>
                </c:pt>
                <c:pt idx="25">
                  <c:v>14.3</c:v>
                </c:pt>
                <c:pt idx="26">
                  <c:v>19.2</c:v>
                </c:pt>
                <c:pt idx="27">
                  <c:v>15.3</c:v>
                </c:pt>
                <c:pt idx="28">
                  <c:v>25.6</c:v>
                </c:pt>
                <c:pt idx="29">
                  <c:v>12.2</c:v>
                </c:pt>
                <c:pt idx="30">
                  <c:v>20.6</c:v>
                </c:pt>
                <c:pt idx="31">
                  <c:v>14.1</c:v>
                </c:pt>
                <c:pt idx="32">
                  <c:v>20.100000000000001</c:v>
                </c:pt>
                <c:pt idx="33">
                  <c:v>12.5</c:v>
                </c:pt>
                <c:pt idx="34">
                  <c:v>14</c:v>
                </c:pt>
                <c:pt idx="35">
                  <c:v>20.399999999999999</c:v>
                </c:pt>
                <c:pt idx="36">
                  <c:v>20.7</c:v>
                </c:pt>
                <c:pt idx="37">
                  <c:v>13</c:v>
                </c:pt>
                <c:pt idx="38">
                  <c:v>28.2</c:v>
                </c:pt>
                <c:pt idx="39">
                  <c:v>12.5</c:v>
                </c:pt>
                <c:pt idx="40">
                  <c:v>16.600000000000001</c:v>
                </c:pt>
                <c:pt idx="41">
                  <c:v>10.5</c:v>
                </c:pt>
                <c:pt idx="42">
                  <c:v>18</c:v>
                </c:pt>
                <c:pt idx="43">
                  <c:v>11.8</c:v>
                </c:pt>
                <c:pt idx="44">
                  <c:v>10.199999999999999</c:v>
                </c:pt>
                <c:pt idx="45">
                  <c:v>11.5</c:v>
                </c:pt>
                <c:pt idx="46">
                  <c:v>22.7</c:v>
                </c:pt>
                <c:pt idx="47">
                  <c:v>16.100000000000001</c:v>
                </c:pt>
                <c:pt idx="48">
                  <c:v>16.3</c:v>
                </c:pt>
                <c:pt idx="49">
                  <c:v>12.8</c:v>
                </c:pt>
                <c:pt idx="50">
                  <c:v>13.5</c:v>
                </c:pt>
                <c:pt idx="51">
                  <c:v>13</c:v>
                </c:pt>
                <c:pt idx="52">
                  <c:v>16.600000000000001</c:v>
                </c:pt>
                <c:pt idx="53">
                  <c:v>24.8</c:v>
                </c:pt>
                <c:pt idx="54">
                  <c:v>9.8000000000000007</c:v>
                </c:pt>
                <c:pt idx="55">
                  <c:v>9.6999999999999993</c:v>
                </c:pt>
                <c:pt idx="56">
                  <c:v>11.4</c:v>
                </c:pt>
                <c:pt idx="57">
                  <c:v>8.4</c:v>
                </c:pt>
                <c:pt idx="58">
                  <c:v>15</c:v>
                </c:pt>
                <c:pt idx="59">
                  <c:v>8.8000000000000007</c:v>
                </c:pt>
                <c:pt idx="60">
                  <c:v>17.8</c:v>
                </c:pt>
                <c:pt idx="61">
                  <c:v>19.8</c:v>
                </c:pt>
                <c:pt idx="62">
                  <c:v>22</c:v>
                </c:pt>
                <c:pt idx="63">
                  <c:v>15.2</c:v>
                </c:pt>
                <c:pt idx="64">
                  <c:v>11.5</c:v>
                </c:pt>
                <c:pt idx="65">
                  <c:v>14.7</c:v>
                </c:pt>
                <c:pt idx="66">
                  <c:v>22.4</c:v>
                </c:pt>
              </c:numCache>
            </c:numRef>
          </c:xVal>
          <c:yVal>
            <c:numRef>
              <c:f>'4-15'!$Q$2:$Q$68</c:f>
              <c:numCache>
                <c:formatCode>General</c:formatCode>
                <c:ptCount val="67"/>
                <c:pt idx="0">
                  <c:v>14.6</c:v>
                </c:pt>
                <c:pt idx="1">
                  <c:v>14.09</c:v>
                </c:pt>
                <c:pt idx="2">
                  <c:v>18.62</c:v>
                </c:pt>
                <c:pt idx="3">
                  <c:v>17.96</c:v>
                </c:pt>
                <c:pt idx="4">
                  <c:v>24.21</c:v>
                </c:pt>
                <c:pt idx="5">
                  <c:v>17.13</c:v>
                </c:pt>
                <c:pt idx="6">
                  <c:v>18.93</c:v>
                </c:pt>
                <c:pt idx="7">
                  <c:v>40.799999999999997</c:v>
                </c:pt>
                <c:pt idx="8">
                  <c:v>36.71</c:v>
                </c:pt>
                <c:pt idx="9">
                  <c:v>16.350000000000001</c:v>
                </c:pt>
                <c:pt idx="10">
                  <c:v>32.92</c:v>
                </c:pt>
                <c:pt idx="11">
                  <c:v>19.260000000000002</c:v>
                </c:pt>
                <c:pt idx="12">
                  <c:v>22.52</c:v>
                </c:pt>
                <c:pt idx="13">
                  <c:v>23.68</c:v>
                </c:pt>
                <c:pt idx="14">
                  <c:v>14.47</c:v>
                </c:pt>
                <c:pt idx="15">
                  <c:v>17.14</c:v>
                </c:pt>
                <c:pt idx="16">
                  <c:v>31.19</c:v>
                </c:pt>
                <c:pt idx="17">
                  <c:v>24.13</c:v>
                </c:pt>
                <c:pt idx="18">
                  <c:v>18.7</c:v>
                </c:pt>
                <c:pt idx="19">
                  <c:v>20.65</c:v>
                </c:pt>
                <c:pt idx="20">
                  <c:v>27.57</c:v>
                </c:pt>
                <c:pt idx="21">
                  <c:v>26.5</c:v>
                </c:pt>
                <c:pt idx="22">
                  <c:v>18.46</c:v>
                </c:pt>
                <c:pt idx="23">
                  <c:v>17.43</c:v>
                </c:pt>
                <c:pt idx="24">
                  <c:v>13.75</c:v>
                </c:pt>
                <c:pt idx="25">
                  <c:v>27.51</c:v>
                </c:pt>
                <c:pt idx="26">
                  <c:v>36.049999999999997</c:v>
                </c:pt>
                <c:pt idx="27">
                  <c:v>14.54</c:v>
                </c:pt>
                <c:pt idx="28">
                  <c:v>19.989999999999998</c:v>
                </c:pt>
                <c:pt idx="29">
                  <c:v>33.85</c:v>
                </c:pt>
                <c:pt idx="30">
                  <c:v>20.62</c:v>
                </c:pt>
                <c:pt idx="31">
                  <c:v>24.65</c:v>
                </c:pt>
                <c:pt idx="32">
                  <c:v>17.28</c:v>
                </c:pt>
                <c:pt idx="33">
                  <c:v>27.07</c:v>
                </c:pt>
                <c:pt idx="34">
                  <c:v>29.15</c:v>
                </c:pt>
                <c:pt idx="35">
                  <c:v>13.89</c:v>
                </c:pt>
                <c:pt idx="36">
                  <c:v>25.15</c:v>
                </c:pt>
                <c:pt idx="37">
                  <c:v>15.04</c:v>
                </c:pt>
                <c:pt idx="38">
                  <c:v>21.1</c:v>
                </c:pt>
                <c:pt idx="39">
                  <c:v>28.06</c:v>
                </c:pt>
                <c:pt idx="40">
                  <c:v>29.18</c:v>
                </c:pt>
                <c:pt idx="41">
                  <c:v>31.53</c:v>
                </c:pt>
                <c:pt idx="42">
                  <c:v>16.66</c:v>
                </c:pt>
                <c:pt idx="43">
                  <c:v>23.75</c:v>
                </c:pt>
                <c:pt idx="44">
                  <c:v>22.83</c:v>
                </c:pt>
                <c:pt idx="45">
                  <c:v>16.309999999999999</c:v>
                </c:pt>
                <c:pt idx="46">
                  <c:v>20.12</c:v>
                </c:pt>
                <c:pt idx="47">
                  <c:v>12.31</c:v>
                </c:pt>
                <c:pt idx="48">
                  <c:v>13.52</c:v>
                </c:pt>
                <c:pt idx="49">
                  <c:v>24.36</c:v>
                </c:pt>
                <c:pt idx="50">
                  <c:v>22.65</c:v>
                </c:pt>
                <c:pt idx="51">
                  <c:v>25.4</c:v>
                </c:pt>
                <c:pt idx="52">
                  <c:v>20.440000000000001</c:v>
                </c:pt>
                <c:pt idx="53">
                  <c:v>23.72</c:v>
                </c:pt>
                <c:pt idx="54">
                  <c:v>16.34</c:v>
                </c:pt>
                <c:pt idx="55">
                  <c:v>37.340000000000003</c:v>
                </c:pt>
                <c:pt idx="56">
                  <c:v>15.98</c:v>
                </c:pt>
                <c:pt idx="57">
                  <c:v>20.65</c:v>
                </c:pt>
                <c:pt idx="58">
                  <c:v>24.65</c:v>
                </c:pt>
                <c:pt idx="59">
                  <c:v>58.17</c:v>
                </c:pt>
                <c:pt idx="60">
                  <c:v>21.73</c:v>
                </c:pt>
                <c:pt idx="61">
                  <c:v>20.98</c:v>
                </c:pt>
                <c:pt idx="62">
                  <c:v>15.21</c:v>
                </c:pt>
                <c:pt idx="63">
                  <c:v>24.91</c:v>
                </c:pt>
                <c:pt idx="64">
                  <c:v>15.9</c:v>
                </c:pt>
                <c:pt idx="65">
                  <c:v>20.22</c:v>
                </c:pt>
                <c:pt idx="66">
                  <c:v>17.2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B5-4E35-96B6-65FA72E1A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057984"/>
        <c:axId val="1497059648"/>
      </c:scatterChart>
      <c:valAx>
        <c:axId val="149705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  <a:r>
                  <a:rPr lang="en-US" baseline="0"/>
                  <a:t> Poverty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059648"/>
        <c:crosses val="autoZero"/>
        <c:crossBetween val="midCat"/>
      </c:valAx>
      <c:valAx>
        <c:axId val="149705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Over 65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05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Days to HIT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Days to HIT Histogram</a:t>
          </a:r>
        </a:p>
      </cx:txPr>
    </cx:title>
    <cx:plotArea>
      <cx:plotAreaRegion>
        <cx:series layoutId="clusteredColumn" uniqueId="{6C004303-C284-448F-BB50-BCFAD362B778}">
          <cx:dataLabels>
            <cx:visibility seriesName="0" categoryName="0" value="1"/>
          </cx:dataLabels>
          <cx:dataId val="0"/>
          <cx:layoutPr>
            <cx:binning intervalClosed="r">
              <cx:binSize val="100"/>
            </cx:binning>
          </cx:layoutPr>
        </cx:series>
      </cx:plotAreaRegion>
      <cx:axis id="0">
        <cx:catScaling gapWidth="0.0199999996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plotArea>
      <cx:plotAreaRegion>
        <cx:series layoutId="clusteredColumn" uniqueId="{D84336A0-BC55-4A54-BB2C-75F6028D496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34E7604-59FA-48B5-BDE4-970994FC1A6E}">
  <sheetPr/>
  <sheetViews>
    <sheetView zoomScale="11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993D1DD-A8A5-4DC0-9DC8-89AEA11495E8}">
  <sheetPr/>
  <sheetViews>
    <sheetView zoomScale="11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BD33404-4353-48C8-97F1-3DC1D4275853}">
  <sheetPr/>
  <sheetViews>
    <sheetView zoomScale="11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B4CA9CD-4EEA-44C9-BC1B-B0109DFD54CE}">
  <sheetPr/>
  <sheetViews>
    <sheetView zoomScale="113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31D954C-A884-46A4-8F2C-C53B8DB048CF}">
  <sheetPr/>
  <sheetViews>
    <sheetView zoomScale="11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List" dx="31" fmlaLink="A1" fmlaRange="Controls!$B$2:$B$68" sel="6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microsoft.com/office/2014/relationships/chartEx" Target="../charts/chartEx2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0</xdr:row>
          <xdr:rowOff>47625</xdr:rowOff>
        </xdr:from>
        <xdr:to>
          <xdr:col>1</xdr:col>
          <xdr:colOff>352425</xdr:colOff>
          <xdr:row>2</xdr:row>
          <xdr:rowOff>161925</xdr:rowOff>
        </xdr:to>
        <xdr:sp macro="" textlink="">
          <xdr:nvSpPr>
            <xdr:cNvPr id="8193" name="List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823910</xdr:colOff>
      <xdr:row>4</xdr:row>
      <xdr:rowOff>57150</xdr:rowOff>
    </xdr:from>
    <xdr:to>
      <xdr:col>21</xdr:col>
      <xdr:colOff>314324</xdr:colOff>
      <xdr:row>20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E78F88C-FB38-4FB5-8CCA-7A1044641403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5221" cy="6288186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320675</xdr:colOff>
      <xdr:row>59</xdr:row>
      <xdr:rowOff>34925</xdr:rowOff>
    </xdr:from>
    <xdr:to>
      <xdr:col>24</xdr:col>
      <xdr:colOff>269875</xdr:colOff>
      <xdr:row>74</xdr:row>
      <xdr:rowOff>15875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960850" y="11274425"/>
              <a:ext cx="4549775" cy="2838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3175</xdr:colOff>
      <xdr:row>68</xdr:row>
      <xdr:rowOff>168274</xdr:rowOff>
    </xdr:from>
    <xdr:to>
      <xdr:col>10</xdr:col>
      <xdr:colOff>1054100</xdr:colOff>
      <xdr:row>86</xdr:row>
      <xdr:rowOff>76199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1219200</xdr:colOff>
      <xdr:row>69</xdr:row>
      <xdr:rowOff>0</xdr:rowOff>
    </xdr:from>
    <xdr:to>
      <xdr:col>16</xdr:col>
      <xdr:colOff>635000</xdr:colOff>
      <xdr:row>86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88</xdr:row>
      <xdr:rowOff>0</xdr:rowOff>
    </xdr:from>
    <xdr:to>
      <xdr:col>17</xdr:col>
      <xdr:colOff>101600</xdr:colOff>
      <xdr:row>105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95"/>
  <sheetViews>
    <sheetView tabSelected="1" workbookViewId="0">
      <selection activeCell="F8" sqref="F8"/>
    </sheetView>
  </sheetViews>
  <sheetFormatPr defaultColWidth="8.625" defaultRowHeight="18.75" x14ac:dyDescent="0.25"/>
  <cols>
    <col min="1" max="1" width="12.625" style="16" customWidth="1"/>
    <col min="2" max="6" width="15.75" style="16" customWidth="1"/>
    <col min="7" max="7" width="16.75" style="16" customWidth="1"/>
    <col min="8" max="11" width="12.625" style="16" customWidth="1"/>
    <col min="12" max="16384" width="8.625" style="15"/>
  </cols>
  <sheetData>
    <row r="1" spans="1:11" x14ac:dyDescent="0.25">
      <c r="A1" s="16">
        <v>6</v>
      </c>
      <c r="C1" s="17" t="s">
        <v>89</v>
      </c>
      <c r="D1" s="46" t="str">
        <f>VLOOKUP(CountyID,SummTable,2,0)</f>
        <v>Broward</v>
      </c>
      <c r="G1" s="17" t="s">
        <v>103</v>
      </c>
      <c r="H1" s="35">
        <f>ROUNDUP(Population*HIT_Percent,0)</f>
        <v>1757501</v>
      </c>
      <c r="J1" s="17" t="s">
        <v>111</v>
      </c>
      <c r="K1" s="16">
        <f>ROUNDUP((HIT_Target-E13)/H13,0)</f>
        <v>142</v>
      </c>
    </row>
    <row r="2" spans="1:11" x14ac:dyDescent="0.25">
      <c r="C2" s="17" t="s">
        <v>90</v>
      </c>
      <c r="D2" s="47">
        <f>VLOOKUP(CountyID,SummTable,3,0)</f>
        <v>1952778</v>
      </c>
      <c r="G2" s="17" t="s">
        <v>102</v>
      </c>
      <c r="H2" s="42">
        <f>ROUNDUP((HIT_Target-Current_Vaccinated)/H18,0)</f>
        <v>150</v>
      </c>
    </row>
    <row r="3" spans="1:11" ht="19.5" thickBot="1" x14ac:dyDescent="0.3">
      <c r="C3" s="17" t="s">
        <v>104</v>
      </c>
      <c r="D3" s="48">
        <v>0.9</v>
      </c>
      <c r="G3" s="17" t="s">
        <v>110</v>
      </c>
      <c r="H3" s="16">
        <v>261</v>
      </c>
    </row>
    <row r="4" spans="1:11" x14ac:dyDescent="0.25">
      <c r="D4" s="17" t="s">
        <v>116</v>
      </c>
      <c r="E4" s="16">
        <f>MAX(E6:E266)</f>
        <v>526156</v>
      </c>
    </row>
    <row r="5" spans="1:11" x14ac:dyDescent="0.25">
      <c r="A5" s="36" t="s">
        <v>88</v>
      </c>
      <c r="B5" s="36" t="s">
        <v>98</v>
      </c>
      <c r="C5" s="36" t="s">
        <v>99</v>
      </c>
      <c r="D5" s="36" t="s">
        <v>100</v>
      </c>
      <c r="E5" s="36" t="s">
        <v>97</v>
      </c>
      <c r="F5" s="36" t="s">
        <v>105</v>
      </c>
      <c r="G5" s="36" t="s">
        <v>101</v>
      </c>
      <c r="H5" s="36" t="s">
        <v>107</v>
      </c>
      <c r="I5" s="36" t="s">
        <v>106</v>
      </c>
      <c r="J5" s="36" t="s">
        <v>108</v>
      </c>
      <c r="K5" s="36" t="s">
        <v>109</v>
      </c>
    </row>
    <row r="6" spans="1:11" x14ac:dyDescent="0.25">
      <c r="A6" s="38">
        <v>44301</v>
      </c>
      <c r="B6" s="39">
        <f>VLOOKUP(CountyID,Table415,10,0)</f>
        <v>213253</v>
      </c>
      <c r="C6" s="39">
        <f t="shared" ref="C6:C13" si="0">VLOOKUP(CountyID,Table415,8,0)-B6</f>
        <v>204405</v>
      </c>
      <c r="D6" s="39">
        <f>E6-C6-B6</f>
        <v>656</v>
      </c>
      <c r="E6" s="39">
        <f>VLOOKUP(CountyID,Table415,6,0)</f>
        <v>418314</v>
      </c>
      <c r="F6" s="39"/>
      <c r="G6" s="40">
        <f>E6/$D$2</f>
        <v>0.21421482626289318</v>
      </c>
      <c r="J6" s="49">
        <f t="shared" ref="J6:J69" si="1">HIT_Target</f>
        <v>1757501</v>
      </c>
      <c r="K6" s="16">
        <f>IF(I6&gt;J6,0,1)</f>
        <v>1</v>
      </c>
    </row>
    <row r="7" spans="1:11" x14ac:dyDescent="0.25">
      <c r="A7" s="38">
        <v>44302</v>
      </c>
      <c r="B7" s="39">
        <f>VLOOKUP(CountyID,Table416,10,0)</f>
        <v>214454</v>
      </c>
      <c r="C7" s="39">
        <f t="shared" si="0"/>
        <v>203204</v>
      </c>
      <c r="D7" s="39">
        <f t="shared" ref="D7:D13" si="2">E7-C7-B7</f>
        <v>10831</v>
      </c>
      <c r="E7" s="39">
        <f>VLOOKUP(CountyID,Table416,6,0)</f>
        <v>428489</v>
      </c>
      <c r="F7" s="39">
        <f>E7-E6</f>
        <v>10175</v>
      </c>
      <c r="G7" s="40">
        <f t="shared" ref="G7:G13" si="3">E7/$D$2</f>
        <v>0.21942535198573521</v>
      </c>
      <c r="J7" s="49">
        <f t="shared" si="1"/>
        <v>1757501</v>
      </c>
      <c r="K7" s="16">
        <f t="shared" ref="K7:K70" si="4">IF(I7&gt;J7,0,1)</f>
        <v>1</v>
      </c>
    </row>
    <row r="8" spans="1:11" x14ac:dyDescent="0.25">
      <c r="A8" s="38">
        <v>44303</v>
      </c>
      <c r="B8" s="39">
        <f>VLOOKUP(CountyID,Table417,10,0)</f>
        <v>216070</v>
      </c>
      <c r="C8" s="39">
        <f t="shared" si="0"/>
        <v>201588</v>
      </c>
      <c r="D8" s="39">
        <f t="shared" si="2"/>
        <v>25214</v>
      </c>
      <c r="E8" s="39">
        <f>VLOOKUP(CountyID,Table417,6,0)</f>
        <v>442872</v>
      </c>
      <c r="F8" s="39">
        <f t="shared" ref="F8:F13" si="5">E8-E7</f>
        <v>14383</v>
      </c>
      <c r="G8" s="40">
        <f t="shared" si="3"/>
        <v>0.22679075655297223</v>
      </c>
      <c r="J8" s="49">
        <f t="shared" si="1"/>
        <v>1757501</v>
      </c>
      <c r="K8" s="16">
        <f t="shared" si="4"/>
        <v>1</v>
      </c>
    </row>
    <row r="9" spans="1:11" x14ac:dyDescent="0.25">
      <c r="A9" s="38">
        <v>44304</v>
      </c>
      <c r="B9" s="39">
        <f>VLOOKUP(CountyID,Table418,10,0)</f>
        <v>217038</v>
      </c>
      <c r="C9" s="39">
        <f t="shared" si="0"/>
        <v>200620</v>
      </c>
      <c r="D9" s="39">
        <f t="shared" si="2"/>
        <v>33808</v>
      </c>
      <c r="E9" s="39">
        <f>VLOOKUP(CountyID,Table418,6,0)</f>
        <v>451466</v>
      </c>
      <c r="F9" s="39">
        <f t="shared" si="5"/>
        <v>8594</v>
      </c>
      <c r="G9" s="40">
        <f t="shared" si="3"/>
        <v>0.23119166643622571</v>
      </c>
      <c r="J9" s="49">
        <f t="shared" si="1"/>
        <v>1757501</v>
      </c>
      <c r="K9" s="16">
        <f t="shared" si="4"/>
        <v>1</v>
      </c>
    </row>
    <row r="10" spans="1:11" x14ac:dyDescent="0.25">
      <c r="A10" s="38">
        <v>44305</v>
      </c>
      <c r="B10" s="39">
        <f>VLOOKUP(CountyID,Table419,10,0)</f>
        <v>218006</v>
      </c>
      <c r="C10" s="39">
        <f t="shared" si="0"/>
        <v>199652</v>
      </c>
      <c r="D10" s="39">
        <f t="shared" si="2"/>
        <v>42401</v>
      </c>
      <c r="E10" s="39">
        <f>VLOOKUP(CountyID,Table419,6,0)</f>
        <v>460059</v>
      </c>
      <c r="F10" s="39">
        <f t="shared" si="5"/>
        <v>8593</v>
      </c>
      <c r="G10" s="40">
        <f t="shared" si="3"/>
        <v>0.2355920642284991</v>
      </c>
      <c r="J10" s="49">
        <f t="shared" si="1"/>
        <v>1757501</v>
      </c>
      <c r="K10" s="16">
        <f t="shared" si="4"/>
        <v>1</v>
      </c>
    </row>
    <row r="11" spans="1:11" x14ac:dyDescent="0.25">
      <c r="A11" s="38">
        <v>44306</v>
      </c>
      <c r="B11" s="39">
        <f>VLOOKUP(CountyID,Table420,10,0)</f>
        <v>218360</v>
      </c>
      <c r="C11" s="39">
        <f t="shared" si="0"/>
        <v>199298</v>
      </c>
      <c r="D11" s="39">
        <f t="shared" si="2"/>
        <v>45828</v>
      </c>
      <c r="E11" s="39">
        <f>VLOOKUP(CountyID,Table420,6,0)</f>
        <v>463486</v>
      </c>
      <c r="F11" s="39">
        <f t="shared" si="5"/>
        <v>3427</v>
      </c>
      <c r="G11" s="40">
        <f t="shared" si="3"/>
        <v>0.2373470000174111</v>
      </c>
      <c r="J11" s="49">
        <f t="shared" si="1"/>
        <v>1757501</v>
      </c>
      <c r="K11" s="16">
        <f t="shared" si="4"/>
        <v>1</v>
      </c>
    </row>
    <row r="12" spans="1:11" x14ac:dyDescent="0.25">
      <c r="A12" s="38">
        <v>44307</v>
      </c>
      <c r="B12" s="39">
        <f>VLOOKUP(CountyID,Table421,10,0)</f>
        <v>219106</v>
      </c>
      <c r="C12" s="39">
        <f t="shared" si="0"/>
        <v>198552</v>
      </c>
      <c r="D12" s="39">
        <f t="shared" si="2"/>
        <v>53401</v>
      </c>
      <c r="E12" s="39">
        <f>VLOOKUP(CountyID,Table421,6,0)</f>
        <v>471059</v>
      </c>
      <c r="F12" s="39">
        <f t="shared" si="5"/>
        <v>7573</v>
      </c>
      <c r="G12" s="40">
        <f t="shared" si="3"/>
        <v>0.24122506500994992</v>
      </c>
      <c r="J12" s="49">
        <f t="shared" si="1"/>
        <v>1757501</v>
      </c>
      <c r="K12" s="16">
        <f t="shared" si="4"/>
        <v>1</v>
      </c>
    </row>
    <row r="13" spans="1:11" x14ac:dyDescent="0.25">
      <c r="A13" s="38">
        <v>44308</v>
      </c>
      <c r="B13" s="39">
        <f>VLOOKUP(CountyID,Table422,10,0)</f>
        <v>220286</v>
      </c>
      <c r="C13" s="39">
        <f t="shared" si="0"/>
        <v>197372</v>
      </c>
      <c r="D13" s="39">
        <f t="shared" si="2"/>
        <v>63678</v>
      </c>
      <c r="E13" s="39">
        <f>VLOOKUP(CountyID,Table422,6,0)</f>
        <v>481336</v>
      </c>
      <c r="F13" s="39">
        <f t="shared" si="5"/>
        <v>10277</v>
      </c>
      <c r="G13" s="40">
        <f t="shared" si="3"/>
        <v>0.24648782401276539</v>
      </c>
      <c r="H13" s="44">
        <f>ROUND(AVERAGE(F7:F13),0)</f>
        <v>9003</v>
      </c>
      <c r="J13" s="49">
        <f t="shared" si="1"/>
        <v>1757501</v>
      </c>
      <c r="K13" s="16">
        <f t="shared" si="4"/>
        <v>1</v>
      </c>
    </row>
    <row r="14" spans="1:11" x14ac:dyDescent="0.25">
      <c r="A14" s="38">
        <v>44309</v>
      </c>
      <c r="B14" s="39">
        <f>VLOOKUP(CountyID,Table423,10,0)</f>
        <v>221354</v>
      </c>
      <c r="C14" s="39">
        <f>VLOOKUP(CountyID,Table423,8,0)-B14</f>
        <v>269364</v>
      </c>
      <c r="D14" s="39">
        <f t="shared" ref="D14" si="6">E14-C14-B14</f>
        <v>1028</v>
      </c>
      <c r="E14" s="39">
        <f>VLOOKUP(CountyID,Table423,6,0)</f>
        <v>491746</v>
      </c>
      <c r="F14" s="39">
        <f t="shared" ref="F14" si="7">E14-E13</f>
        <v>10410</v>
      </c>
      <c r="G14" s="40">
        <f t="shared" ref="G14" si="8">E14/$D$2</f>
        <v>0.25181869111593841</v>
      </c>
      <c r="H14" s="44">
        <f>IF(F14=0,H13,AVERAGE(F7:F14))</f>
        <v>9179</v>
      </c>
      <c r="I14" s="44">
        <f>E13+H13</f>
        <v>490339</v>
      </c>
      <c r="J14" s="49">
        <f t="shared" si="1"/>
        <v>1757501</v>
      </c>
      <c r="K14" s="16">
        <f t="shared" si="4"/>
        <v>1</v>
      </c>
    </row>
    <row r="15" spans="1:11" x14ac:dyDescent="0.25">
      <c r="A15" s="38">
        <v>44310</v>
      </c>
      <c r="B15" s="39">
        <f>VLOOKUP(CountyID,Table424,10,0)</f>
        <v>222382</v>
      </c>
      <c r="C15" s="39">
        <f>VLOOKUP(CountyID,Table424,8,0)-B15</f>
        <v>279512</v>
      </c>
      <c r="D15" s="39">
        <f t="shared" ref="D15:D18" si="9">E15-C15-B15</f>
        <v>1083</v>
      </c>
      <c r="E15" s="39">
        <f>VLOOKUP(CountyID,Table424,6,0)</f>
        <v>502977</v>
      </c>
      <c r="F15" s="39">
        <f t="shared" ref="F15:F18" si="10">E15-E14</f>
        <v>11231</v>
      </c>
      <c r="G15" s="40">
        <f t="shared" ref="G15:G18" si="11">E15/$D$2</f>
        <v>0.25756998491379973</v>
      </c>
      <c r="H15" s="44">
        <f>IF(F15=0,H14,AVERAGE(F8:F15))</f>
        <v>9311</v>
      </c>
      <c r="I15" s="44">
        <f>I14+H14</f>
        <v>499518</v>
      </c>
      <c r="J15" s="49">
        <f t="shared" si="1"/>
        <v>1757501</v>
      </c>
      <c r="K15" s="16">
        <f t="shared" si="4"/>
        <v>1</v>
      </c>
    </row>
    <row r="16" spans="1:11" x14ac:dyDescent="0.25">
      <c r="A16" s="38">
        <v>44311</v>
      </c>
      <c r="B16" s="39">
        <f>VLOOKUP(CountyID,Table425,10,0)</f>
        <v>223269</v>
      </c>
      <c r="C16" s="39">
        <f>VLOOKUP(CountyID,Table425,8,0)-B16</f>
        <v>289702</v>
      </c>
      <c r="D16" s="39">
        <f t="shared" si="9"/>
        <v>1154</v>
      </c>
      <c r="E16" s="39">
        <f>VLOOKUP(CountyID,Table425,6,0)</f>
        <v>514125</v>
      </c>
      <c r="F16" s="39">
        <f t="shared" si="10"/>
        <v>11148</v>
      </c>
      <c r="G16" s="40">
        <f t="shared" si="11"/>
        <v>0.26327877516031006</v>
      </c>
      <c r="H16" s="44">
        <f>IF(F16=0,H15,AVERAGE(F9:F16))</f>
        <v>8906.625</v>
      </c>
      <c r="I16" s="44">
        <f>I15+H15</f>
        <v>508829</v>
      </c>
      <c r="J16" s="49">
        <f t="shared" si="1"/>
        <v>1757501</v>
      </c>
      <c r="K16" s="16">
        <f t="shared" si="4"/>
        <v>1</v>
      </c>
    </row>
    <row r="17" spans="1:11" x14ac:dyDescent="0.25">
      <c r="A17" s="38">
        <v>44312</v>
      </c>
      <c r="B17" s="39">
        <f>VLOOKUP(CountyID,Table426,10,0)</f>
        <v>223871</v>
      </c>
      <c r="C17" s="39">
        <f>VLOOKUP(CountyID,Table426,8,0)-B17</f>
        <v>295997</v>
      </c>
      <c r="D17" s="39">
        <f t="shared" si="9"/>
        <v>1216</v>
      </c>
      <c r="E17" s="39">
        <f>VLOOKUP(CountyID,Table426,6,0)</f>
        <v>521084</v>
      </c>
      <c r="F17" s="39">
        <f t="shared" si="10"/>
        <v>6959</v>
      </c>
      <c r="G17" s="40">
        <f t="shared" si="11"/>
        <v>0.26684241629104793</v>
      </c>
      <c r="H17" s="44">
        <f t="shared" ref="H17:H80" si="12">IF(F17=0,H16,AVERAGE(F10:F17))</f>
        <v>8702.25</v>
      </c>
      <c r="I17" s="44">
        <f t="shared" ref="I17:I80" si="13">I16+H16</f>
        <v>517735.625</v>
      </c>
      <c r="J17" s="49">
        <f t="shared" si="1"/>
        <v>1757501</v>
      </c>
      <c r="K17" s="16">
        <f t="shared" si="4"/>
        <v>1</v>
      </c>
    </row>
    <row r="18" spans="1:11" x14ac:dyDescent="0.25">
      <c r="A18" s="38">
        <v>44313</v>
      </c>
      <c r="B18" s="39">
        <f>VLOOKUP(CountyID,Table427,10,0)</f>
        <v>224306</v>
      </c>
      <c r="C18" s="39">
        <f>VLOOKUP(CountyID,Table427,8,0)-B18</f>
        <v>300601</v>
      </c>
      <c r="D18" s="39">
        <f t="shared" si="9"/>
        <v>1249</v>
      </c>
      <c r="E18" s="39">
        <f>VLOOKUP(CountyID,Table427,6,0)</f>
        <v>526156</v>
      </c>
      <c r="F18" s="39">
        <f t="shared" si="10"/>
        <v>5072</v>
      </c>
      <c r="G18" s="40">
        <f t="shared" si="11"/>
        <v>0.26943974174227692</v>
      </c>
      <c r="H18" s="44">
        <f t="shared" si="12"/>
        <v>8262.125</v>
      </c>
      <c r="I18" s="44">
        <f t="shared" si="13"/>
        <v>526437.875</v>
      </c>
      <c r="J18" s="49">
        <f t="shared" si="1"/>
        <v>1757501</v>
      </c>
      <c r="K18" s="16">
        <f t="shared" si="4"/>
        <v>1</v>
      </c>
    </row>
    <row r="19" spans="1:11" x14ac:dyDescent="0.25">
      <c r="A19" s="37">
        <v>44314</v>
      </c>
      <c r="B19" s="41"/>
      <c r="C19" s="41"/>
      <c r="D19" s="41"/>
      <c r="E19" s="41"/>
      <c r="F19" s="39"/>
      <c r="G19" s="41"/>
      <c r="H19" s="44">
        <f t="shared" si="12"/>
        <v>8262.125</v>
      </c>
      <c r="I19" s="44">
        <f t="shared" si="13"/>
        <v>534700</v>
      </c>
      <c r="J19" s="49">
        <f t="shared" si="1"/>
        <v>1757501</v>
      </c>
      <c r="K19" s="16">
        <f t="shared" si="4"/>
        <v>1</v>
      </c>
    </row>
    <row r="20" spans="1:11" x14ac:dyDescent="0.25">
      <c r="A20" s="37">
        <v>44315</v>
      </c>
      <c r="B20" s="41"/>
      <c r="C20" s="41"/>
      <c r="D20" s="41"/>
      <c r="E20" s="41"/>
      <c r="F20" s="39"/>
      <c r="G20" s="41"/>
      <c r="H20" s="44">
        <f t="shared" si="12"/>
        <v>8262.125</v>
      </c>
      <c r="I20" s="44">
        <f t="shared" si="13"/>
        <v>542962.125</v>
      </c>
      <c r="J20" s="49">
        <f t="shared" si="1"/>
        <v>1757501</v>
      </c>
      <c r="K20" s="16">
        <f t="shared" si="4"/>
        <v>1</v>
      </c>
    </row>
    <row r="21" spans="1:11" x14ac:dyDescent="0.25">
      <c r="A21" s="37">
        <v>44316</v>
      </c>
      <c r="B21" s="41"/>
      <c r="C21" s="41"/>
      <c r="D21" s="41"/>
      <c r="E21" s="41"/>
      <c r="F21" s="39"/>
      <c r="G21" s="41"/>
      <c r="H21" s="44">
        <f t="shared" si="12"/>
        <v>8262.125</v>
      </c>
      <c r="I21" s="44">
        <f t="shared" si="13"/>
        <v>551224.25</v>
      </c>
      <c r="J21" s="49">
        <f t="shared" si="1"/>
        <v>1757501</v>
      </c>
      <c r="K21" s="16">
        <f t="shared" si="4"/>
        <v>1</v>
      </c>
    </row>
    <row r="22" spans="1:11" x14ac:dyDescent="0.25">
      <c r="A22" s="37">
        <v>44317</v>
      </c>
      <c r="B22" s="41"/>
      <c r="C22" s="41"/>
      <c r="D22" s="41"/>
      <c r="E22" s="41"/>
      <c r="F22" s="39"/>
      <c r="G22" s="41"/>
      <c r="H22" s="44">
        <f t="shared" si="12"/>
        <v>8262.125</v>
      </c>
      <c r="I22" s="44">
        <f t="shared" si="13"/>
        <v>559486.375</v>
      </c>
      <c r="J22" s="49">
        <f t="shared" si="1"/>
        <v>1757501</v>
      </c>
      <c r="K22" s="16">
        <f t="shared" si="4"/>
        <v>1</v>
      </c>
    </row>
    <row r="23" spans="1:11" x14ac:dyDescent="0.25">
      <c r="A23" s="37">
        <v>44318</v>
      </c>
      <c r="B23" s="41"/>
      <c r="C23" s="41"/>
      <c r="D23" s="41"/>
      <c r="E23" s="41"/>
      <c r="F23" s="39"/>
      <c r="G23" s="41"/>
      <c r="H23" s="44">
        <f t="shared" si="12"/>
        <v>8262.125</v>
      </c>
      <c r="I23" s="44">
        <f t="shared" si="13"/>
        <v>567748.5</v>
      </c>
      <c r="J23" s="49">
        <f t="shared" si="1"/>
        <v>1757501</v>
      </c>
      <c r="K23" s="16">
        <f t="shared" si="4"/>
        <v>1</v>
      </c>
    </row>
    <row r="24" spans="1:11" x14ac:dyDescent="0.25">
      <c r="A24" s="37">
        <v>44319</v>
      </c>
      <c r="B24" s="41"/>
      <c r="C24" s="41"/>
      <c r="D24" s="41"/>
      <c r="E24" s="41"/>
      <c r="F24" s="41"/>
      <c r="G24" s="41"/>
      <c r="H24" s="44">
        <f t="shared" si="12"/>
        <v>8262.125</v>
      </c>
      <c r="I24" s="44">
        <f t="shared" si="13"/>
        <v>576010.625</v>
      </c>
      <c r="J24" s="49">
        <f t="shared" si="1"/>
        <v>1757501</v>
      </c>
      <c r="K24" s="16">
        <f t="shared" si="4"/>
        <v>1</v>
      </c>
    </row>
    <row r="25" spans="1:11" x14ac:dyDescent="0.25">
      <c r="A25" s="37">
        <v>44320</v>
      </c>
      <c r="B25" s="41"/>
      <c r="C25" s="41"/>
      <c r="D25" s="41"/>
      <c r="E25" s="41"/>
      <c r="F25" s="41"/>
      <c r="G25" s="41"/>
      <c r="H25" s="44">
        <f t="shared" si="12"/>
        <v>8262.125</v>
      </c>
      <c r="I25" s="44">
        <f t="shared" si="13"/>
        <v>584272.75</v>
      </c>
      <c r="J25" s="49">
        <f t="shared" si="1"/>
        <v>1757501</v>
      </c>
      <c r="K25" s="16">
        <f t="shared" si="4"/>
        <v>1</v>
      </c>
    </row>
    <row r="26" spans="1:11" x14ac:dyDescent="0.25">
      <c r="A26" s="37">
        <v>44321</v>
      </c>
      <c r="B26" s="41"/>
      <c r="C26" s="41"/>
      <c r="D26" s="41"/>
      <c r="E26" s="41"/>
      <c r="F26" s="41"/>
      <c r="G26" s="41"/>
      <c r="H26" s="44">
        <f t="shared" si="12"/>
        <v>8262.125</v>
      </c>
      <c r="I26" s="44">
        <f t="shared" si="13"/>
        <v>592534.875</v>
      </c>
      <c r="J26" s="49">
        <f t="shared" si="1"/>
        <v>1757501</v>
      </c>
      <c r="K26" s="16">
        <f t="shared" si="4"/>
        <v>1</v>
      </c>
    </row>
    <row r="27" spans="1:11" x14ac:dyDescent="0.25">
      <c r="A27" s="37">
        <v>44322</v>
      </c>
      <c r="B27" s="41"/>
      <c r="C27" s="41"/>
      <c r="D27" s="41"/>
      <c r="E27" s="41"/>
      <c r="F27" s="41"/>
      <c r="G27" s="41"/>
      <c r="H27" s="44">
        <f t="shared" si="12"/>
        <v>8262.125</v>
      </c>
      <c r="I27" s="44">
        <f t="shared" si="13"/>
        <v>600797</v>
      </c>
      <c r="J27" s="49">
        <f t="shared" si="1"/>
        <v>1757501</v>
      </c>
      <c r="K27" s="16">
        <f t="shared" si="4"/>
        <v>1</v>
      </c>
    </row>
    <row r="28" spans="1:11" x14ac:dyDescent="0.25">
      <c r="A28" s="37">
        <v>44323</v>
      </c>
      <c r="B28" s="41"/>
      <c r="C28" s="41"/>
      <c r="D28" s="41"/>
      <c r="E28" s="41"/>
      <c r="F28" s="41"/>
      <c r="G28" s="41"/>
      <c r="H28" s="44">
        <f t="shared" si="12"/>
        <v>8262.125</v>
      </c>
      <c r="I28" s="44">
        <f t="shared" si="13"/>
        <v>609059.125</v>
      </c>
      <c r="J28" s="49">
        <f t="shared" si="1"/>
        <v>1757501</v>
      </c>
      <c r="K28" s="16">
        <f t="shared" si="4"/>
        <v>1</v>
      </c>
    </row>
    <row r="29" spans="1:11" x14ac:dyDescent="0.25">
      <c r="A29" s="37">
        <v>44324</v>
      </c>
      <c r="B29" s="41"/>
      <c r="C29" s="41"/>
      <c r="D29" s="41"/>
      <c r="E29" s="41"/>
      <c r="F29" s="41"/>
      <c r="G29" s="41"/>
      <c r="H29" s="44">
        <f t="shared" si="12"/>
        <v>8262.125</v>
      </c>
      <c r="I29" s="44">
        <f t="shared" si="13"/>
        <v>617321.25</v>
      </c>
      <c r="J29" s="49">
        <f t="shared" si="1"/>
        <v>1757501</v>
      </c>
      <c r="K29" s="16">
        <f t="shared" si="4"/>
        <v>1</v>
      </c>
    </row>
    <row r="30" spans="1:11" x14ac:dyDescent="0.25">
      <c r="A30" s="37">
        <v>44325</v>
      </c>
      <c r="B30" s="41"/>
      <c r="C30" s="41"/>
      <c r="D30" s="41"/>
      <c r="E30" s="41"/>
      <c r="F30" s="41"/>
      <c r="G30" s="41"/>
      <c r="H30" s="44">
        <f t="shared" si="12"/>
        <v>8262.125</v>
      </c>
      <c r="I30" s="44">
        <f t="shared" si="13"/>
        <v>625583.375</v>
      </c>
      <c r="J30" s="49">
        <f t="shared" si="1"/>
        <v>1757501</v>
      </c>
      <c r="K30" s="16">
        <f t="shared" si="4"/>
        <v>1</v>
      </c>
    </row>
    <row r="31" spans="1:11" x14ac:dyDescent="0.25">
      <c r="A31" s="37">
        <v>44326</v>
      </c>
      <c r="B31" s="41"/>
      <c r="C31" s="41"/>
      <c r="D31" s="41"/>
      <c r="E31" s="41"/>
      <c r="F31" s="41"/>
      <c r="G31" s="41"/>
      <c r="H31" s="44">
        <f t="shared" si="12"/>
        <v>8262.125</v>
      </c>
      <c r="I31" s="44">
        <f t="shared" si="13"/>
        <v>633845.5</v>
      </c>
      <c r="J31" s="49">
        <f t="shared" si="1"/>
        <v>1757501</v>
      </c>
      <c r="K31" s="16">
        <f t="shared" si="4"/>
        <v>1</v>
      </c>
    </row>
    <row r="32" spans="1:11" x14ac:dyDescent="0.25">
      <c r="A32" s="37">
        <v>44327</v>
      </c>
      <c r="B32" s="41"/>
      <c r="C32" s="41"/>
      <c r="D32" s="41"/>
      <c r="E32" s="41"/>
      <c r="F32" s="41"/>
      <c r="G32" s="41"/>
      <c r="H32" s="44">
        <f t="shared" si="12"/>
        <v>8262.125</v>
      </c>
      <c r="I32" s="44">
        <f t="shared" si="13"/>
        <v>642107.625</v>
      </c>
      <c r="J32" s="49">
        <f t="shared" si="1"/>
        <v>1757501</v>
      </c>
      <c r="K32" s="16">
        <f t="shared" si="4"/>
        <v>1</v>
      </c>
    </row>
    <row r="33" spans="1:11" x14ac:dyDescent="0.25">
      <c r="A33" s="37">
        <v>44328</v>
      </c>
      <c r="B33" s="41"/>
      <c r="C33" s="41"/>
      <c r="D33" s="41"/>
      <c r="E33" s="41"/>
      <c r="F33" s="41"/>
      <c r="G33" s="41"/>
      <c r="H33" s="44">
        <f t="shared" si="12"/>
        <v>8262.125</v>
      </c>
      <c r="I33" s="44">
        <f t="shared" si="13"/>
        <v>650369.75</v>
      </c>
      <c r="J33" s="49">
        <f t="shared" si="1"/>
        <v>1757501</v>
      </c>
      <c r="K33" s="16">
        <f t="shared" si="4"/>
        <v>1</v>
      </c>
    </row>
    <row r="34" spans="1:11" x14ac:dyDescent="0.25">
      <c r="A34" s="37">
        <v>44329</v>
      </c>
      <c r="B34" s="41"/>
      <c r="C34" s="41"/>
      <c r="D34" s="41"/>
      <c r="E34" s="41"/>
      <c r="F34" s="41"/>
      <c r="G34" s="41"/>
      <c r="H34" s="44">
        <f t="shared" si="12"/>
        <v>8262.125</v>
      </c>
      <c r="I34" s="44">
        <f t="shared" si="13"/>
        <v>658631.875</v>
      </c>
      <c r="J34" s="49">
        <f t="shared" si="1"/>
        <v>1757501</v>
      </c>
      <c r="K34" s="16">
        <f t="shared" si="4"/>
        <v>1</v>
      </c>
    </row>
    <row r="35" spans="1:11" x14ac:dyDescent="0.25">
      <c r="A35" s="37">
        <v>44330</v>
      </c>
      <c r="B35" s="41"/>
      <c r="C35" s="41"/>
      <c r="D35" s="41"/>
      <c r="E35" s="41"/>
      <c r="F35" s="41"/>
      <c r="G35" s="41"/>
      <c r="H35" s="44">
        <f t="shared" si="12"/>
        <v>8262.125</v>
      </c>
      <c r="I35" s="44">
        <f t="shared" si="13"/>
        <v>666894</v>
      </c>
      <c r="J35" s="49">
        <f t="shared" si="1"/>
        <v>1757501</v>
      </c>
      <c r="K35" s="16">
        <f t="shared" si="4"/>
        <v>1</v>
      </c>
    </row>
    <row r="36" spans="1:11" x14ac:dyDescent="0.25">
      <c r="A36" s="37">
        <v>44331</v>
      </c>
      <c r="B36" s="41"/>
      <c r="C36" s="41"/>
      <c r="D36" s="41"/>
      <c r="E36" s="41"/>
      <c r="F36" s="41"/>
      <c r="G36" s="41"/>
      <c r="H36" s="44">
        <f t="shared" si="12"/>
        <v>8262.125</v>
      </c>
      <c r="I36" s="44">
        <f t="shared" si="13"/>
        <v>675156.125</v>
      </c>
      <c r="J36" s="49">
        <f t="shared" si="1"/>
        <v>1757501</v>
      </c>
      <c r="K36" s="16">
        <f t="shared" si="4"/>
        <v>1</v>
      </c>
    </row>
    <row r="37" spans="1:11" x14ac:dyDescent="0.25">
      <c r="A37" s="37">
        <v>44332</v>
      </c>
      <c r="B37" s="41"/>
      <c r="C37" s="41"/>
      <c r="D37" s="41"/>
      <c r="E37" s="41"/>
      <c r="F37" s="41"/>
      <c r="G37" s="41"/>
      <c r="H37" s="44">
        <f t="shared" si="12"/>
        <v>8262.125</v>
      </c>
      <c r="I37" s="44">
        <f t="shared" si="13"/>
        <v>683418.25</v>
      </c>
      <c r="J37" s="49">
        <f t="shared" si="1"/>
        <v>1757501</v>
      </c>
      <c r="K37" s="16">
        <f t="shared" si="4"/>
        <v>1</v>
      </c>
    </row>
    <row r="38" spans="1:11" x14ac:dyDescent="0.25">
      <c r="A38" s="37">
        <v>44333</v>
      </c>
      <c r="B38" s="41"/>
      <c r="C38" s="41"/>
      <c r="D38" s="41"/>
      <c r="E38" s="41"/>
      <c r="F38" s="41"/>
      <c r="G38" s="41"/>
      <c r="H38" s="44">
        <f t="shared" si="12"/>
        <v>8262.125</v>
      </c>
      <c r="I38" s="44">
        <f t="shared" si="13"/>
        <v>691680.375</v>
      </c>
      <c r="J38" s="49">
        <f t="shared" si="1"/>
        <v>1757501</v>
      </c>
      <c r="K38" s="16">
        <f t="shared" si="4"/>
        <v>1</v>
      </c>
    </row>
    <row r="39" spans="1:11" x14ac:dyDescent="0.25">
      <c r="A39" s="37">
        <v>44334</v>
      </c>
      <c r="B39" s="41"/>
      <c r="C39" s="41"/>
      <c r="D39" s="41"/>
      <c r="E39" s="41"/>
      <c r="F39" s="41"/>
      <c r="G39" s="41"/>
      <c r="H39" s="44">
        <f t="shared" si="12"/>
        <v>8262.125</v>
      </c>
      <c r="I39" s="44">
        <f t="shared" si="13"/>
        <v>699942.5</v>
      </c>
      <c r="J39" s="49">
        <f t="shared" si="1"/>
        <v>1757501</v>
      </c>
      <c r="K39" s="16">
        <f t="shared" si="4"/>
        <v>1</v>
      </c>
    </row>
    <row r="40" spans="1:11" x14ac:dyDescent="0.25">
      <c r="A40" s="37">
        <v>44335</v>
      </c>
      <c r="B40" s="41"/>
      <c r="C40" s="41"/>
      <c r="D40" s="41"/>
      <c r="E40" s="41"/>
      <c r="F40" s="41"/>
      <c r="G40" s="41"/>
      <c r="H40" s="44">
        <f t="shared" si="12"/>
        <v>8262.125</v>
      </c>
      <c r="I40" s="44">
        <f t="shared" si="13"/>
        <v>708204.625</v>
      </c>
      <c r="J40" s="49">
        <f t="shared" si="1"/>
        <v>1757501</v>
      </c>
      <c r="K40" s="16">
        <f t="shared" si="4"/>
        <v>1</v>
      </c>
    </row>
    <row r="41" spans="1:11" x14ac:dyDescent="0.25">
      <c r="A41" s="37">
        <v>44336</v>
      </c>
      <c r="B41" s="41"/>
      <c r="C41" s="41"/>
      <c r="D41" s="41"/>
      <c r="E41" s="41"/>
      <c r="F41" s="41"/>
      <c r="G41" s="41"/>
      <c r="H41" s="44">
        <f t="shared" si="12"/>
        <v>8262.125</v>
      </c>
      <c r="I41" s="44">
        <f t="shared" si="13"/>
        <v>716466.75</v>
      </c>
      <c r="J41" s="49">
        <f t="shared" si="1"/>
        <v>1757501</v>
      </c>
      <c r="K41" s="16">
        <f t="shared" si="4"/>
        <v>1</v>
      </c>
    </row>
    <row r="42" spans="1:11" x14ac:dyDescent="0.25">
      <c r="A42" s="37">
        <v>44337</v>
      </c>
      <c r="B42" s="41"/>
      <c r="C42" s="41"/>
      <c r="D42" s="41"/>
      <c r="E42" s="41"/>
      <c r="F42" s="41"/>
      <c r="G42" s="41"/>
      <c r="H42" s="44">
        <f t="shared" si="12"/>
        <v>8262.125</v>
      </c>
      <c r="I42" s="44">
        <f t="shared" si="13"/>
        <v>724728.875</v>
      </c>
      <c r="J42" s="49">
        <f t="shared" si="1"/>
        <v>1757501</v>
      </c>
      <c r="K42" s="16">
        <f t="shared" si="4"/>
        <v>1</v>
      </c>
    </row>
    <row r="43" spans="1:11" x14ac:dyDescent="0.25">
      <c r="A43" s="37">
        <v>44338</v>
      </c>
      <c r="B43" s="41"/>
      <c r="C43" s="41"/>
      <c r="D43" s="41"/>
      <c r="E43" s="41"/>
      <c r="F43" s="41"/>
      <c r="G43" s="41"/>
      <c r="H43" s="44">
        <f t="shared" si="12"/>
        <v>8262.125</v>
      </c>
      <c r="I43" s="44">
        <f t="shared" si="13"/>
        <v>732991</v>
      </c>
      <c r="J43" s="49">
        <f t="shared" si="1"/>
        <v>1757501</v>
      </c>
      <c r="K43" s="16">
        <f t="shared" si="4"/>
        <v>1</v>
      </c>
    </row>
    <row r="44" spans="1:11" x14ac:dyDescent="0.25">
      <c r="A44" s="37">
        <v>44339</v>
      </c>
      <c r="B44" s="41"/>
      <c r="C44" s="41"/>
      <c r="D44" s="41"/>
      <c r="E44" s="41"/>
      <c r="F44" s="41"/>
      <c r="G44" s="41"/>
      <c r="H44" s="44">
        <f t="shared" si="12"/>
        <v>8262.125</v>
      </c>
      <c r="I44" s="44">
        <f t="shared" si="13"/>
        <v>741253.125</v>
      </c>
      <c r="J44" s="49">
        <f t="shared" si="1"/>
        <v>1757501</v>
      </c>
      <c r="K44" s="16">
        <f t="shared" si="4"/>
        <v>1</v>
      </c>
    </row>
    <row r="45" spans="1:11" x14ac:dyDescent="0.25">
      <c r="A45" s="37">
        <v>44340</v>
      </c>
      <c r="B45" s="41"/>
      <c r="C45" s="41"/>
      <c r="D45" s="41"/>
      <c r="E45" s="41"/>
      <c r="F45" s="41"/>
      <c r="G45" s="41"/>
      <c r="H45" s="44">
        <f t="shared" si="12"/>
        <v>8262.125</v>
      </c>
      <c r="I45" s="44">
        <f t="shared" si="13"/>
        <v>749515.25</v>
      </c>
      <c r="J45" s="49">
        <f t="shared" si="1"/>
        <v>1757501</v>
      </c>
      <c r="K45" s="16">
        <f t="shared" si="4"/>
        <v>1</v>
      </c>
    </row>
    <row r="46" spans="1:11" x14ac:dyDescent="0.25">
      <c r="A46" s="37">
        <v>44341</v>
      </c>
      <c r="B46" s="41"/>
      <c r="C46" s="41"/>
      <c r="D46" s="41"/>
      <c r="E46" s="41"/>
      <c r="F46" s="41"/>
      <c r="G46" s="41"/>
      <c r="H46" s="44">
        <f t="shared" si="12"/>
        <v>8262.125</v>
      </c>
      <c r="I46" s="44">
        <f t="shared" si="13"/>
        <v>757777.375</v>
      </c>
      <c r="J46" s="49">
        <f t="shared" si="1"/>
        <v>1757501</v>
      </c>
      <c r="K46" s="16">
        <f t="shared" si="4"/>
        <v>1</v>
      </c>
    </row>
    <row r="47" spans="1:11" x14ac:dyDescent="0.25">
      <c r="A47" s="37">
        <v>44342</v>
      </c>
      <c r="B47" s="41"/>
      <c r="C47" s="41"/>
      <c r="D47" s="41"/>
      <c r="E47" s="41"/>
      <c r="F47" s="41"/>
      <c r="G47" s="41"/>
      <c r="H47" s="44">
        <f t="shared" si="12"/>
        <v>8262.125</v>
      </c>
      <c r="I47" s="44">
        <f t="shared" si="13"/>
        <v>766039.5</v>
      </c>
      <c r="J47" s="49">
        <f t="shared" si="1"/>
        <v>1757501</v>
      </c>
      <c r="K47" s="16">
        <f t="shared" si="4"/>
        <v>1</v>
      </c>
    </row>
    <row r="48" spans="1:11" x14ac:dyDescent="0.25">
      <c r="A48" s="37">
        <v>44343</v>
      </c>
      <c r="B48" s="41"/>
      <c r="C48" s="41"/>
      <c r="D48" s="41"/>
      <c r="E48" s="41"/>
      <c r="F48" s="41"/>
      <c r="G48" s="41"/>
      <c r="H48" s="44">
        <f t="shared" si="12"/>
        <v>8262.125</v>
      </c>
      <c r="I48" s="44">
        <f t="shared" si="13"/>
        <v>774301.625</v>
      </c>
      <c r="J48" s="49">
        <f t="shared" si="1"/>
        <v>1757501</v>
      </c>
      <c r="K48" s="16">
        <f t="shared" si="4"/>
        <v>1</v>
      </c>
    </row>
    <row r="49" spans="1:11" x14ac:dyDescent="0.25">
      <c r="A49" s="37">
        <v>44344</v>
      </c>
      <c r="B49" s="41"/>
      <c r="C49" s="41"/>
      <c r="D49" s="41"/>
      <c r="E49" s="41"/>
      <c r="F49" s="41"/>
      <c r="G49" s="41"/>
      <c r="H49" s="44">
        <f t="shared" si="12"/>
        <v>8262.125</v>
      </c>
      <c r="I49" s="44">
        <f t="shared" si="13"/>
        <v>782563.75</v>
      </c>
      <c r="J49" s="49">
        <f t="shared" si="1"/>
        <v>1757501</v>
      </c>
      <c r="K49" s="16">
        <f t="shared" si="4"/>
        <v>1</v>
      </c>
    </row>
    <row r="50" spans="1:11" x14ac:dyDescent="0.25">
      <c r="A50" s="37">
        <v>44345</v>
      </c>
      <c r="B50" s="41"/>
      <c r="C50" s="41"/>
      <c r="D50" s="41"/>
      <c r="E50" s="41"/>
      <c r="F50" s="41"/>
      <c r="G50" s="41"/>
      <c r="H50" s="44">
        <f t="shared" si="12"/>
        <v>8262.125</v>
      </c>
      <c r="I50" s="44">
        <f t="shared" si="13"/>
        <v>790825.875</v>
      </c>
      <c r="J50" s="49">
        <f t="shared" si="1"/>
        <v>1757501</v>
      </c>
      <c r="K50" s="16">
        <f t="shared" si="4"/>
        <v>1</v>
      </c>
    </row>
    <row r="51" spans="1:11" x14ac:dyDescent="0.25">
      <c r="A51" s="37">
        <v>44346</v>
      </c>
      <c r="B51" s="41"/>
      <c r="C51" s="41"/>
      <c r="D51" s="41"/>
      <c r="E51" s="41"/>
      <c r="F51" s="41"/>
      <c r="G51" s="41"/>
      <c r="H51" s="44">
        <f t="shared" si="12"/>
        <v>8262.125</v>
      </c>
      <c r="I51" s="44">
        <f t="shared" si="13"/>
        <v>799088</v>
      </c>
      <c r="J51" s="49">
        <f t="shared" si="1"/>
        <v>1757501</v>
      </c>
      <c r="K51" s="16">
        <f t="shared" si="4"/>
        <v>1</v>
      </c>
    </row>
    <row r="52" spans="1:11" x14ac:dyDescent="0.25">
      <c r="A52" s="37">
        <v>44347</v>
      </c>
      <c r="B52" s="41"/>
      <c r="C52" s="41"/>
      <c r="D52" s="41"/>
      <c r="E52" s="41"/>
      <c r="F52" s="41"/>
      <c r="G52" s="41"/>
      <c r="H52" s="44">
        <f t="shared" si="12"/>
        <v>8262.125</v>
      </c>
      <c r="I52" s="44">
        <f t="shared" si="13"/>
        <v>807350.125</v>
      </c>
      <c r="J52" s="49">
        <f t="shared" si="1"/>
        <v>1757501</v>
      </c>
      <c r="K52" s="16">
        <f t="shared" si="4"/>
        <v>1</v>
      </c>
    </row>
    <row r="53" spans="1:11" x14ac:dyDescent="0.25">
      <c r="A53" s="37">
        <v>44348</v>
      </c>
      <c r="B53" s="41"/>
      <c r="C53" s="41"/>
      <c r="D53" s="41"/>
      <c r="E53" s="41"/>
      <c r="F53" s="41"/>
      <c r="G53" s="41"/>
      <c r="H53" s="44">
        <f t="shared" si="12"/>
        <v>8262.125</v>
      </c>
      <c r="I53" s="44">
        <f t="shared" si="13"/>
        <v>815612.25</v>
      </c>
      <c r="J53" s="49">
        <f t="shared" si="1"/>
        <v>1757501</v>
      </c>
      <c r="K53" s="16">
        <f t="shared" si="4"/>
        <v>1</v>
      </c>
    </row>
    <row r="54" spans="1:11" x14ac:dyDescent="0.25">
      <c r="A54" s="37">
        <v>44349</v>
      </c>
      <c r="B54" s="41"/>
      <c r="C54" s="41"/>
      <c r="D54" s="41"/>
      <c r="E54" s="41"/>
      <c r="F54" s="41"/>
      <c r="G54" s="41"/>
      <c r="H54" s="44">
        <f t="shared" si="12"/>
        <v>8262.125</v>
      </c>
      <c r="I54" s="44">
        <f t="shared" si="13"/>
        <v>823874.375</v>
      </c>
      <c r="J54" s="49">
        <f t="shared" si="1"/>
        <v>1757501</v>
      </c>
      <c r="K54" s="16">
        <f t="shared" si="4"/>
        <v>1</v>
      </c>
    </row>
    <row r="55" spans="1:11" x14ac:dyDescent="0.25">
      <c r="A55" s="37">
        <v>44350</v>
      </c>
      <c r="B55" s="41"/>
      <c r="C55" s="41"/>
      <c r="D55" s="41"/>
      <c r="E55" s="41"/>
      <c r="F55" s="41"/>
      <c r="G55" s="41"/>
      <c r="H55" s="44">
        <f t="shared" si="12"/>
        <v>8262.125</v>
      </c>
      <c r="I55" s="44">
        <f t="shared" si="13"/>
        <v>832136.5</v>
      </c>
      <c r="J55" s="49">
        <f t="shared" si="1"/>
        <v>1757501</v>
      </c>
      <c r="K55" s="16">
        <f t="shared" si="4"/>
        <v>1</v>
      </c>
    </row>
    <row r="56" spans="1:11" x14ac:dyDescent="0.25">
      <c r="A56" s="37">
        <v>44351</v>
      </c>
      <c r="B56" s="41"/>
      <c r="C56" s="41"/>
      <c r="D56" s="41"/>
      <c r="E56" s="41"/>
      <c r="F56" s="41"/>
      <c r="G56" s="41"/>
      <c r="H56" s="44">
        <f t="shared" si="12"/>
        <v>8262.125</v>
      </c>
      <c r="I56" s="44">
        <f t="shared" si="13"/>
        <v>840398.625</v>
      </c>
      <c r="J56" s="49">
        <f t="shared" si="1"/>
        <v>1757501</v>
      </c>
      <c r="K56" s="16">
        <f t="shared" si="4"/>
        <v>1</v>
      </c>
    </row>
    <row r="57" spans="1:11" x14ac:dyDescent="0.25">
      <c r="A57" s="37">
        <v>44352</v>
      </c>
      <c r="B57" s="41"/>
      <c r="C57" s="41"/>
      <c r="D57" s="41"/>
      <c r="E57" s="41"/>
      <c r="F57" s="41"/>
      <c r="G57" s="41"/>
      <c r="H57" s="44">
        <f t="shared" si="12"/>
        <v>8262.125</v>
      </c>
      <c r="I57" s="44">
        <f t="shared" si="13"/>
        <v>848660.75</v>
      </c>
      <c r="J57" s="49">
        <f t="shared" si="1"/>
        <v>1757501</v>
      </c>
      <c r="K57" s="16">
        <f t="shared" si="4"/>
        <v>1</v>
      </c>
    </row>
    <row r="58" spans="1:11" x14ac:dyDescent="0.25">
      <c r="A58" s="37">
        <v>44353</v>
      </c>
      <c r="B58" s="41"/>
      <c r="C58" s="41"/>
      <c r="D58" s="41"/>
      <c r="E58" s="41"/>
      <c r="F58" s="41"/>
      <c r="G58" s="41"/>
      <c r="H58" s="44">
        <f t="shared" si="12"/>
        <v>8262.125</v>
      </c>
      <c r="I58" s="44">
        <f t="shared" si="13"/>
        <v>856922.875</v>
      </c>
      <c r="J58" s="49">
        <f t="shared" si="1"/>
        <v>1757501</v>
      </c>
      <c r="K58" s="16">
        <f t="shared" si="4"/>
        <v>1</v>
      </c>
    </row>
    <row r="59" spans="1:11" x14ac:dyDescent="0.25">
      <c r="A59" s="37">
        <v>44354</v>
      </c>
      <c r="B59" s="41"/>
      <c r="C59" s="41"/>
      <c r="D59" s="41"/>
      <c r="E59" s="41"/>
      <c r="F59" s="41"/>
      <c r="G59" s="41"/>
      <c r="H59" s="44">
        <f t="shared" si="12"/>
        <v>8262.125</v>
      </c>
      <c r="I59" s="44">
        <f t="shared" si="13"/>
        <v>865185</v>
      </c>
      <c r="J59" s="49">
        <f t="shared" si="1"/>
        <v>1757501</v>
      </c>
      <c r="K59" s="16">
        <f t="shared" si="4"/>
        <v>1</v>
      </c>
    </row>
    <row r="60" spans="1:11" x14ac:dyDescent="0.25">
      <c r="A60" s="37">
        <v>44355</v>
      </c>
      <c r="B60" s="41"/>
      <c r="C60" s="41"/>
      <c r="D60" s="41"/>
      <c r="E60" s="41"/>
      <c r="F60" s="41"/>
      <c r="G60" s="41"/>
      <c r="H60" s="44">
        <f t="shared" si="12"/>
        <v>8262.125</v>
      </c>
      <c r="I60" s="44">
        <f t="shared" si="13"/>
        <v>873447.125</v>
      </c>
      <c r="J60" s="49">
        <f t="shared" si="1"/>
        <v>1757501</v>
      </c>
      <c r="K60" s="16">
        <f t="shared" si="4"/>
        <v>1</v>
      </c>
    </row>
    <row r="61" spans="1:11" x14ac:dyDescent="0.25">
      <c r="A61" s="37">
        <v>44356</v>
      </c>
      <c r="B61" s="41"/>
      <c r="C61" s="41"/>
      <c r="D61" s="41"/>
      <c r="E61" s="41"/>
      <c r="F61" s="41"/>
      <c r="G61" s="41"/>
      <c r="H61" s="44">
        <f t="shared" si="12"/>
        <v>8262.125</v>
      </c>
      <c r="I61" s="44">
        <f t="shared" si="13"/>
        <v>881709.25</v>
      </c>
      <c r="J61" s="49">
        <f t="shared" si="1"/>
        <v>1757501</v>
      </c>
      <c r="K61" s="16">
        <f t="shared" si="4"/>
        <v>1</v>
      </c>
    </row>
    <row r="62" spans="1:11" x14ac:dyDescent="0.25">
      <c r="A62" s="37">
        <v>44357</v>
      </c>
      <c r="B62" s="41"/>
      <c r="C62" s="41"/>
      <c r="D62" s="41"/>
      <c r="E62" s="41"/>
      <c r="F62" s="41"/>
      <c r="G62" s="41"/>
      <c r="H62" s="44">
        <f t="shared" si="12"/>
        <v>8262.125</v>
      </c>
      <c r="I62" s="44">
        <f t="shared" si="13"/>
        <v>889971.375</v>
      </c>
      <c r="J62" s="49">
        <f t="shared" si="1"/>
        <v>1757501</v>
      </c>
      <c r="K62" s="16">
        <f t="shared" si="4"/>
        <v>1</v>
      </c>
    </row>
    <row r="63" spans="1:11" x14ac:dyDescent="0.25">
      <c r="A63" s="37">
        <v>44358</v>
      </c>
      <c r="B63" s="41"/>
      <c r="C63" s="41"/>
      <c r="D63" s="41"/>
      <c r="E63" s="41"/>
      <c r="F63" s="41"/>
      <c r="G63" s="41"/>
      <c r="H63" s="44">
        <f t="shared" si="12"/>
        <v>8262.125</v>
      </c>
      <c r="I63" s="44">
        <f t="shared" si="13"/>
        <v>898233.5</v>
      </c>
      <c r="J63" s="49">
        <f t="shared" si="1"/>
        <v>1757501</v>
      </c>
      <c r="K63" s="16">
        <f t="shared" si="4"/>
        <v>1</v>
      </c>
    </row>
    <row r="64" spans="1:11" x14ac:dyDescent="0.25">
      <c r="A64" s="37">
        <v>44359</v>
      </c>
      <c r="B64" s="41"/>
      <c r="C64" s="41"/>
      <c r="D64" s="41"/>
      <c r="E64" s="41"/>
      <c r="F64" s="41"/>
      <c r="G64" s="41"/>
      <c r="H64" s="44">
        <f t="shared" si="12"/>
        <v>8262.125</v>
      </c>
      <c r="I64" s="44">
        <f t="shared" si="13"/>
        <v>906495.625</v>
      </c>
      <c r="J64" s="49">
        <f t="shared" si="1"/>
        <v>1757501</v>
      </c>
      <c r="K64" s="16">
        <f t="shared" si="4"/>
        <v>1</v>
      </c>
    </row>
    <row r="65" spans="1:11" x14ac:dyDescent="0.25">
      <c r="A65" s="37">
        <v>44360</v>
      </c>
      <c r="B65" s="41"/>
      <c r="C65" s="41"/>
      <c r="D65" s="41"/>
      <c r="E65" s="41"/>
      <c r="F65" s="41"/>
      <c r="G65" s="41"/>
      <c r="H65" s="44">
        <f t="shared" si="12"/>
        <v>8262.125</v>
      </c>
      <c r="I65" s="44">
        <f t="shared" si="13"/>
        <v>914757.75</v>
      </c>
      <c r="J65" s="49">
        <f t="shared" si="1"/>
        <v>1757501</v>
      </c>
      <c r="K65" s="16">
        <f t="shared" si="4"/>
        <v>1</v>
      </c>
    </row>
    <row r="66" spans="1:11" x14ac:dyDescent="0.25">
      <c r="A66" s="37">
        <v>44361</v>
      </c>
      <c r="B66" s="41"/>
      <c r="C66" s="41"/>
      <c r="D66" s="41"/>
      <c r="E66" s="41"/>
      <c r="F66" s="41"/>
      <c r="G66" s="41"/>
      <c r="H66" s="44">
        <f t="shared" si="12"/>
        <v>8262.125</v>
      </c>
      <c r="I66" s="44">
        <f t="shared" si="13"/>
        <v>923019.875</v>
      </c>
      <c r="J66" s="49">
        <f t="shared" si="1"/>
        <v>1757501</v>
      </c>
      <c r="K66" s="16">
        <f t="shared" si="4"/>
        <v>1</v>
      </c>
    </row>
    <row r="67" spans="1:11" x14ac:dyDescent="0.25">
      <c r="A67" s="37">
        <v>44362</v>
      </c>
      <c r="B67" s="41"/>
      <c r="C67" s="41"/>
      <c r="D67" s="41"/>
      <c r="E67" s="41"/>
      <c r="F67" s="41"/>
      <c r="G67" s="41"/>
      <c r="H67" s="44">
        <f t="shared" si="12"/>
        <v>8262.125</v>
      </c>
      <c r="I67" s="44">
        <f t="shared" si="13"/>
        <v>931282</v>
      </c>
      <c r="J67" s="49">
        <f t="shared" si="1"/>
        <v>1757501</v>
      </c>
      <c r="K67" s="16">
        <f t="shared" si="4"/>
        <v>1</v>
      </c>
    </row>
    <row r="68" spans="1:11" x14ac:dyDescent="0.25">
      <c r="A68" s="37">
        <v>44363</v>
      </c>
      <c r="B68" s="41"/>
      <c r="C68" s="41"/>
      <c r="D68" s="41"/>
      <c r="E68" s="41"/>
      <c r="F68" s="41"/>
      <c r="G68" s="41"/>
      <c r="H68" s="44">
        <f t="shared" si="12"/>
        <v>8262.125</v>
      </c>
      <c r="I68" s="44">
        <f t="shared" si="13"/>
        <v>939544.125</v>
      </c>
      <c r="J68" s="49">
        <f t="shared" si="1"/>
        <v>1757501</v>
      </c>
      <c r="K68" s="16">
        <f t="shared" si="4"/>
        <v>1</v>
      </c>
    </row>
    <row r="69" spans="1:11" x14ac:dyDescent="0.25">
      <c r="A69" s="37">
        <v>44364</v>
      </c>
      <c r="B69" s="41"/>
      <c r="C69" s="41"/>
      <c r="D69" s="41"/>
      <c r="E69" s="41"/>
      <c r="F69" s="41"/>
      <c r="G69" s="41"/>
      <c r="H69" s="44">
        <f t="shared" si="12"/>
        <v>8262.125</v>
      </c>
      <c r="I69" s="44">
        <f t="shared" si="13"/>
        <v>947806.25</v>
      </c>
      <c r="J69" s="49">
        <f t="shared" si="1"/>
        <v>1757501</v>
      </c>
      <c r="K69" s="16">
        <f t="shared" si="4"/>
        <v>1</v>
      </c>
    </row>
    <row r="70" spans="1:11" x14ac:dyDescent="0.25">
      <c r="A70" s="37">
        <v>44365</v>
      </c>
      <c r="B70" s="41"/>
      <c r="C70" s="41"/>
      <c r="D70" s="41"/>
      <c r="E70" s="41"/>
      <c r="F70" s="41"/>
      <c r="G70" s="41"/>
      <c r="H70" s="44">
        <f t="shared" si="12"/>
        <v>8262.125</v>
      </c>
      <c r="I70" s="44">
        <f t="shared" si="13"/>
        <v>956068.375</v>
      </c>
      <c r="J70" s="49">
        <f t="shared" ref="J70:J133" si="14">HIT_Target</f>
        <v>1757501</v>
      </c>
      <c r="K70" s="16">
        <f t="shared" si="4"/>
        <v>1</v>
      </c>
    </row>
    <row r="71" spans="1:11" x14ac:dyDescent="0.25">
      <c r="A71" s="37">
        <v>44366</v>
      </c>
      <c r="B71" s="41"/>
      <c r="C71" s="41"/>
      <c r="D71" s="41"/>
      <c r="E71" s="41"/>
      <c r="F71" s="41"/>
      <c r="G71" s="41"/>
      <c r="H71" s="44">
        <f t="shared" si="12"/>
        <v>8262.125</v>
      </c>
      <c r="I71" s="44">
        <f t="shared" si="13"/>
        <v>964330.5</v>
      </c>
      <c r="J71" s="49">
        <f t="shared" si="14"/>
        <v>1757501</v>
      </c>
      <c r="K71" s="16">
        <f t="shared" ref="K71:K134" si="15">IF(I71&gt;J71,0,1)</f>
        <v>1</v>
      </c>
    </row>
    <row r="72" spans="1:11" x14ac:dyDescent="0.25">
      <c r="A72" s="37">
        <v>44367</v>
      </c>
      <c r="B72" s="41"/>
      <c r="C72" s="41"/>
      <c r="D72" s="41"/>
      <c r="E72" s="41"/>
      <c r="F72" s="41"/>
      <c r="G72" s="41"/>
      <c r="H72" s="44">
        <f t="shared" si="12"/>
        <v>8262.125</v>
      </c>
      <c r="I72" s="44">
        <f t="shared" si="13"/>
        <v>972592.625</v>
      </c>
      <c r="J72" s="49">
        <f t="shared" si="14"/>
        <v>1757501</v>
      </c>
      <c r="K72" s="16">
        <f t="shared" si="15"/>
        <v>1</v>
      </c>
    </row>
    <row r="73" spans="1:11" x14ac:dyDescent="0.25">
      <c r="A73" s="37">
        <v>44368</v>
      </c>
      <c r="B73" s="41"/>
      <c r="C73" s="41"/>
      <c r="D73" s="41"/>
      <c r="E73" s="41"/>
      <c r="F73" s="41"/>
      <c r="G73" s="41"/>
      <c r="H73" s="44">
        <f t="shared" si="12"/>
        <v>8262.125</v>
      </c>
      <c r="I73" s="44">
        <f t="shared" si="13"/>
        <v>980854.75</v>
      </c>
      <c r="J73" s="49">
        <f t="shared" si="14"/>
        <v>1757501</v>
      </c>
      <c r="K73" s="16">
        <f t="shared" si="15"/>
        <v>1</v>
      </c>
    </row>
    <row r="74" spans="1:11" x14ac:dyDescent="0.25">
      <c r="A74" s="37">
        <v>44369</v>
      </c>
      <c r="B74" s="41"/>
      <c r="C74" s="41"/>
      <c r="D74" s="41"/>
      <c r="E74" s="41"/>
      <c r="F74" s="41"/>
      <c r="G74" s="41"/>
      <c r="H74" s="44">
        <f t="shared" si="12"/>
        <v>8262.125</v>
      </c>
      <c r="I74" s="44">
        <f t="shared" si="13"/>
        <v>989116.875</v>
      </c>
      <c r="J74" s="49">
        <f t="shared" si="14"/>
        <v>1757501</v>
      </c>
      <c r="K74" s="16">
        <f t="shared" si="15"/>
        <v>1</v>
      </c>
    </row>
    <row r="75" spans="1:11" x14ac:dyDescent="0.25">
      <c r="A75" s="37">
        <v>44370</v>
      </c>
      <c r="B75" s="41"/>
      <c r="C75" s="41"/>
      <c r="D75" s="41"/>
      <c r="E75" s="41"/>
      <c r="F75" s="41"/>
      <c r="G75" s="41"/>
      <c r="H75" s="44">
        <f t="shared" si="12"/>
        <v>8262.125</v>
      </c>
      <c r="I75" s="44">
        <f t="shared" si="13"/>
        <v>997379</v>
      </c>
      <c r="J75" s="49">
        <f t="shared" si="14"/>
        <v>1757501</v>
      </c>
      <c r="K75" s="16">
        <f t="shared" si="15"/>
        <v>1</v>
      </c>
    </row>
    <row r="76" spans="1:11" x14ac:dyDescent="0.25">
      <c r="A76" s="37">
        <v>44371</v>
      </c>
      <c r="B76" s="41"/>
      <c r="C76" s="41"/>
      <c r="D76" s="41"/>
      <c r="E76" s="41"/>
      <c r="F76" s="41"/>
      <c r="G76" s="41"/>
      <c r="H76" s="44">
        <f t="shared" si="12"/>
        <v>8262.125</v>
      </c>
      <c r="I76" s="44">
        <f t="shared" si="13"/>
        <v>1005641.125</v>
      </c>
      <c r="J76" s="49">
        <f t="shared" si="14"/>
        <v>1757501</v>
      </c>
      <c r="K76" s="16">
        <f t="shared" si="15"/>
        <v>1</v>
      </c>
    </row>
    <row r="77" spans="1:11" x14ac:dyDescent="0.25">
      <c r="A77" s="37">
        <v>44372</v>
      </c>
      <c r="B77" s="41"/>
      <c r="C77" s="41"/>
      <c r="D77" s="41"/>
      <c r="E77" s="41"/>
      <c r="F77" s="41"/>
      <c r="G77" s="41"/>
      <c r="H77" s="44">
        <f t="shared" si="12"/>
        <v>8262.125</v>
      </c>
      <c r="I77" s="44">
        <f t="shared" si="13"/>
        <v>1013903.25</v>
      </c>
      <c r="J77" s="49">
        <f t="shared" si="14"/>
        <v>1757501</v>
      </c>
      <c r="K77" s="16">
        <f t="shared" si="15"/>
        <v>1</v>
      </c>
    </row>
    <row r="78" spans="1:11" x14ac:dyDescent="0.25">
      <c r="A78" s="37">
        <v>44373</v>
      </c>
      <c r="B78" s="41"/>
      <c r="C78" s="41"/>
      <c r="D78" s="41"/>
      <c r="E78" s="41"/>
      <c r="F78" s="41"/>
      <c r="G78" s="41"/>
      <c r="H78" s="44">
        <f t="shared" si="12"/>
        <v>8262.125</v>
      </c>
      <c r="I78" s="44">
        <f t="shared" si="13"/>
        <v>1022165.375</v>
      </c>
      <c r="J78" s="49">
        <f t="shared" si="14"/>
        <v>1757501</v>
      </c>
      <c r="K78" s="16">
        <f t="shared" si="15"/>
        <v>1</v>
      </c>
    </row>
    <row r="79" spans="1:11" x14ac:dyDescent="0.25">
      <c r="A79" s="37">
        <v>44374</v>
      </c>
      <c r="B79" s="41"/>
      <c r="C79" s="41"/>
      <c r="D79" s="41"/>
      <c r="E79" s="41"/>
      <c r="F79" s="41"/>
      <c r="G79" s="41"/>
      <c r="H79" s="44">
        <f t="shared" si="12"/>
        <v>8262.125</v>
      </c>
      <c r="I79" s="44">
        <f t="shared" si="13"/>
        <v>1030427.5</v>
      </c>
      <c r="J79" s="49">
        <f t="shared" si="14"/>
        <v>1757501</v>
      </c>
      <c r="K79" s="16">
        <f t="shared" si="15"/>
        <v>1</v>
      </c>
    </row>
    <row r="80" spans="1:11" x14ac:dyDescent="0.25">
      <c r="A80" s="37">
        <v>44375</v>
      </c>
      <c r="B80" s="41"/>
      <c r="C80" s="41"/>
      <c r="D80" s="41"/>
      <c r="E80" s="41"/>
      <c r="F80" s="41"/>
      <c r="G80" s="41"/>
      <c r="H80" s="44">
        <f t="shared" si="12"/>
        <v>8262.125</v>
      </c>
      <c r="I80" s="44">
        <f t="shared" si="13"/>
        <v>1038689.625</v>
      </c>
      <c r="J80" s="49">
        <f t="shared" si="14"/>
        <v>1757501</v>
      </c>
      <c r="K80" s="16">
        <f t="shared" si="15"/>
        <v>1</v>
      </c>
    </row>
    <row r="81" spans="1:11" x14ac:dyDescent="0.25">
      <c r="A81" s="37">
        <v>44376</v>
      </c>
      <c r="B81" s="41"/>
      <c r="C81" s="41"/>
      <c r="D81" s="41"/>
      <c r="E81" s="41"/>
      <c r="F81" s="41"/>
      <c r="G81" s="41"/>
      <c r="H81" s="44">
        <f t="shared" ref="H81:H144" si="16">IF(F81=0,H80,AVERAGE(F74:F81))</f>
        <v>8262.125</v>
      </c>
      <c r="I81" s="44">
        <f t="shared" ref="I81:I144" si="17">I80+H80</f>
        <v>1046951.75</v>
      </c>
      <c r="J81" s="49">
        <f t="shared" si="14"/>
        <v>1757501</v>
      </c>
      <c r="K81" s="16">
        <f t="shared" si="15"/>
        <v>1</v>
      </c>
    </row>
    <row r="82" spans="1:11" x14ac:dyDescent="0.25">
      <c r="A82" s="37">
        <v>44377</v>
      </c>
      <c r="B82" s="41"/>
      <c r="C82" s="41"/>
      <c r="D82" s="41"/>
      <c r="E82" s="41"/>
      <c r="F82" s="41"/>
      <c r="G82" s="41"/>
      <c r="H82" s="44">
        <f t="shared" si="16"/>
        <v>8262.125</v>
      </c>
      <c r="I82" s="44">
        <f t="shared" si="17"/>
        <v>1055213.875</v>
      </c>
      <c r="J82" s="49">
        <f t="shared" si="14"/>
        <v>1757501</v>
      </c>
      <c r="K82" s="16">
        <f t="shared" si="15"/>
        <v>1</v>
      </c>
    </row>
    <row r="83" spans="1:11" x14ac:dyDescent="0.25">
      <c r="A83" s="37">
        <v>44378</v>
      </c>
      <c r="B83" s="41"/>
      <c r="C83" s="41"/>
      <c r="D83" s="41"/>
      <c r="E83" s="41"/>
      <c r="F83" s="41"/>
      <c r="G83" s="41"/>
      <c r="H83" s="44">
        <f t="shared" si="16"/>
        <v>8262.125</v>
      </c>
      <c r="I83" s="44">
        <f t="shared" si="17"/>
        <v>1063476</v>
      </c>
      <c r="J83" s="49">
        <f t="shared" si="14"/>
        <v>1757501</v>
      </c>
      <c r="K83" s="16">
        <f t="shared" si="15"/>
        <v>1</v>
      </c>
    </row>
    <row r="84" spans="1:11" x14ac:dyDescent="0.25">
      <c r="A84" s="37">
        <v>44379</v>
      </c>
      <c r="B84" s="41"/>
      <c r="C84" s="41"/>
      <c r="D84" s="41"/>
      <c r="E84" s="41"/>
      <c r="F84" s="41"/>
      <c r="G84" s="41"/>
      <c r="H84" s="44">
        <f t="shared" si="16"/>
        <v>8262.125</v>
      </c>
      <c r="I84" s="44">
        <f t="shared" si="17"/>
        <v>1071738.125</v>
      </c>
      <c r="J84" s="49">
        <f t="shared" si="14"/>
        <v>1757501</v>
      </c>
      <c r="K84" s="16">
        <f t="shared" si="15"/>
        <v>1</v>
      </c>
    </row>
    <row r="85" spans="1:11" x14ac:dyDescent="0.25">
      <c r="A85" s="37">
        <v>44380</v>
      </c>
      <c r="B85" s="41"/>
      <c r="C85" s="41"/>
      <c r="D85" s="41"/>
      <c r="E85" s="41"/>
      <c r="F85" s="41"/>
      <c r="G85" s="41"/>
      <c r="H85" s="44">
        <f t="shared" si="16"/>
        <v>8262.125</v>
      </c>
      <c r="I85" s="44">
        <f t="shared" si="17"/>
        <v>1080000.25</v>
      </c>
      <c r="J85" s="49">
        <f t="shared" si="14"/>
        <v>1757501</v>
      </c>
      <c r="K85" s="16">
        <f t="shared" si="15"/>
        <v>1</v>
      </c>
    </row>
    <row r="86" spans="1:11" x14ac:dyDescent="0.25">
      <c r="A86" s="37">
        <v>44381</v>
      </c>
      <c r="B86" s="41"/>
      <c r="C86" s="41"/>
      <c r="D86" s="41"/>
      <c r="E86" s="41"/>
      <c r="F86" s="41"/>
      <c r="G86" s="41"/>
      <c r="H86" s="44">
        <f t="shared" si="16"/>
        <v>8262.125</v>
      </c>
      <c r="I86" s="44">
        <f t="shared" si="17"/>
        <v>1088262.375</v>
      </c>
      <c r="J86" s="49">
        <f t="shared" si="14"/>
        <v>1757501</v>
      </c>
      <c r="K86" s="16">
        <f t="shared" si="15"/>
        <v>1</v>
      </c>
    </row>
    <row r="87" spans="1:11" x14ac:dyDescent="0.25">
      <c r="A87" s="37">
        <v>44382</v>
      </c>
      <c r="B87" s="41"/>
      <c r="C87" s="41"/>
      <c r="D87" s="41"/>
      <c r="E87" s="41"/>
      <c r="F87" s="41"/>
      <c r="G87" s="41"/>
      <c r="H87" s="44">
        <f t="shared" si="16"/>
        <v>8262.125</v>
      </c>
      <c r="I87" s="44">
        <f t="shared" si="17"/>
        <v>1096524.5</v>
      </c>
      <c r="J87" s="49">
        <f t="shared" si="14"/>
        <v>1757501</v>
      </c>
      <c r="K87" s="16">
        <f t="shared" si="15"/>
        <v>1</v>
      </c>
    </row>
    <row r="88" spans="1:11" x14ac:dyDescent="0.25">
      <c r="A88" s="37">
        <v>44383</v>
      </c>
      <c r="B88" s="41"/>
      <c r="C88" s="41"/>
      <c r="D88" s="41"/>
      <c r="E88" s="41"/>
      <c r="F88" s="41"/>
      <c r="G88" s="41"/>
      <c r="H88" s="44">
        <f t="shared" si="16"/>
        <v>8262.125</v>
      </c>
      <c r="I88" s="44">
        <f t="shared" si="17"/>
        <v>1104786.625</v>
      </c>
      <c r="J88" s="49">
        <f t="shared" si="14"/>
        <v>1757501</v>
      </c>
      <c r="K88" s="16">
        <f t="shared" si="15"/>
        <v>1</v>
      </c>
    </row>
    <row r="89" spans="1:11" x14ac:dyDescent="0.25">
      <c r="A89" s="37">
        <v>44384</v>
      </c>
      <c r="B89" s="41"/>
      <c r="C89" s="41"/>
      <c r="D89" s="41"/>
      <c r="E89" s="41"/>
      <c r="F89" s="41"/>
      <c r="G89" s="41"/>
      <c r="H89" s="44">
        <f t="shared" si="16"/>
        <v>8262.125</v>
      </c>
      <c r="I89" s="44">
        <f t="shared" si="17"/>
        <v>1113048.75</v>
      </c>
      <c r="J89" s="49">
        <f t="shared" si="14"/>
        <v>1757501</v>
      </c>
      <c r="K89" s="16">
        <f t="shared" si="15"/>
        <v>1</v>
      </c>
    </row>
    <row r="90" spans="1:11" x14ac:dyDescent="0.25">
      <c r="A90" s="37">
        <v>44385</v>
      </c>
      <c r="B90" s="41"/>
      <c r="C90" s="41"/>
      <c r="D90" s="41"/>
      <c r="E90" s="41"/>
      <c r="F90" s="41"/>
      <c r="G90" s="41"/>
      <c r="H90" s="44">
        <f t="shared" si="16"/>
        <v>8262.125</v>
      </c>
      <c r="I90" s="44">
        <f t="shared" si="17"/>
        <v>1121310.875</v>
      </c>
      <c r="J90" s="49">
        <f t="shared" si="14"/>
        <v>1757501</v>
      </c>
      <c r="K90" s="16">
        <f t="shared" si="15"/>
        <v>1</v>
      </c>
    </row>
    <row r="91" spans="1:11" x14ac:dyDescent="0.25">
      <c r="A91" s="37">
        <v>44386</v>
      </c>
      <c r="B91" s="41"/>
      <c r="C91" s="41"/>
      <c r="D91" s="41"/>
      <c r="E91" s="41"/>
      <c r="F91" s="41"/>
      <c r="G91" s="41"/>
      <c r="H91" s="44">
        <f t="shared" si="16"/>
        <v>8262.125</v>
      </c>
      <c r="I91" s="44">
        <f t="shared" si="17"/>
        <v>1129573</v>
      </c>
      <c r="J91" s="49">
        <f t="shared" si="14"/>
        <v>1757501</v>
      </c>
      <c r="K91" s="16">
        <f t="shared" si="15"/>
        <v>1</v>
      </c>
    </row>
    <row r="92" spans="1:11" x14ac:dyDescent="0.25">
      <c r="A92" s="37">
        <v>44387</v>
      </c>
      <c r="B92" s="41"/>
      <c r="C92" s="41"/>
      <c r="D92" s="41"/>
      <c r="E92" s="41"/>
      <c r="F92" s="41"/>
      <c r="G92" s="41"/>
      <c r="H92" s="44">
        <f t="shared" si="16"/>
        <v>8262.125</v>
      </c>
      <c r="I92" s="44">
        <f t="shared" si="17"/>
        <v>1137835.125</v>
      </c>
      <c r="J92" s="49">
        <f t="shared" si="14"/>
        <v>1757501</v>
      </c>
      <c r="K92" s="16">
        <f t="shared" si="15"/>
        <v>1</v>
      </c>
    </row>
    <row r="93" spans="1:11" x14ac:dyDescent="0.25">
      <c r="A93" s="37">
        <v>44388</v>
      </c>
      <c r="B93" s="41"/>
      <c r="C93" s="41"/>
      <c r="D93" s="41"/>
      <c r="E93" s="41"/>
      <c r="F93" s="41"/>
      <c r="G93" s="41"/>
      <c r="H93" s="44">
        <f t="shared" si="16"/>
        <v>8262.125</v>
      </c>
      <c r="I93" s="44">
        <f t="shared" si="17"/>
        <v>1146097.25</v>
      </c>
      <c r="J93" s="49">
        <f t="shared" si="14"/>
        <v>1757501</v>
      </c>
      <c r="K93" s="16">
        <f t="shared" si="15"/>
        <v>1</v>
      </c>
    </row>
    <row r="94" spans="1:11" x14ac:dyDescent="0.25">
      <c r="A94" s="37">
        <v>44389</v>
      </c>
      <c r="B94" s="41"/>
      <c r="C94" s="41"/>
      <c r="D94" s="41"/>
      <c r="E94" s="41"/>
      <c r="F94" s="41"/>
      <c r="G94" s="41"/>
      <c r="H94" s="44">
        <f t="shared" si="16"/>
        <v>8262.125</v>
      </c>
      <c r="I94" s="44">
        <f t="shared" si="17"/>
        <v>1154359.375</v>
      </c>
      <c r="J94" s="49">
        <f t="shared" si="14"/>
        <v>1757501</v>
      </c>
      <c r="K94" s="16">
        <f t="shared" si="15"/>
        <v>1</v>
      </c>
    </row>
    <row r="95" spans="1:11" x14ac:dyDescent="0.25">
      <c r="A95" s="37">
        <v>44390</v>
      </c>
      <c r="B95" s="41"/>
      <c r="C95" s="41"/>
      <c r="D95" s="41"/>
      <c r="E95" s="41"/>
      <c r="F95" s="41"/>
      <c r="G95" s="41"/>
      <c r="H95" s="44">
        <f t="shared" si="16"/>
        <v>8262.125</v>
      </c>
      <c r="I95" s="44">
        <f t="shared" si="17"/>
        <v>1162621.5</v>
      </c>
      <c r="J95" s="49">
        <f t="shared" si="14"/>
        <v>1757501</v>
      </c>
      <c r="K95" s="16">
        <f t="shared" si="15"/>
        <v>1</v>
      </c>
    </row>
    <row r="96" spans="1:11" x14ac:dyDescent="0.25">
      <c r="A96" s="37">
        <v>44391</v>
      </c>
      <c r="B96" s="41"/>
      <c r="C96" s="41"/>
      <c r="D96" s="41"/>
      <c r="E96" s="41"/>
      <c r="F96" s="41"/>
      <c r="G96" s="41"/>
      <c r="H96" s="44">
        <f t="shared" si="16"/>
        <v>8262.125</v>
      </c>
      <c r="I96" s="44">
        <f t="shared" si="17"/>
        <v>1170883.625</v>
      </c>
      <c r="J96" s="49">
        <f t="shared" si="14"/>
        <v>1757501</v>
      </c>
      <c r="K96" s="16">
        <f t="shared" si="15"/>
        <v>1</v>
      </c>
    </row>
    <row r="97" spans="1:11" x14ac:dyDescent="0.25">
      <c r="A97" s="37">
        <v>44392</v>
      </c>
      <c r="B97" s="41"/>
      <c r="C97" s="41"/>
      <c r="D97" s="41"/>
      <c r="E97" s="41"/>
      <c r="F97" s="41"/>
      <c r="G97" s="41"/>
      <c r="H97" s="44">
        <f t="shared" si="16"/>
        <v>8262.125</v>
      </c>
      <c r="I97" s="44">
        <f t="shared" si="17"/>
        <v>1179145.75</v>
      </c>
      <c r="J97" s="49">
        <f t="shared" si="14"/>
        <v>1757501</v>
      </c>
      <c r="K97" s="16">
        <f t="shared" si="15"/>
        <v>1</v>
      </c>
    </row>
    <row r="98" spans="1:11" x14ac:dyDescent="0.25">
      <c r="A98" s="37">
        <v>44393</v>
      </c>
      <c r="B98" s="41"/>
      <c r="C98" s="41"/>
      <c r="D98" s="41"/>
      <c r="E98" s="41"/>
      <c r="F98" s="41"/>
      <c r="G98" s="41"/>
      <c r="H98" s="44">
        <f t="shared" si="16"/>
        <v>8262.125</v>
      </c>
      <c r="I98" s="44">
        <f t="shared" si="17"/>
        <v>1187407.875</v>
      </c>
      <c r="J98" s="49">
        <f t="shared" si="14"/>
        <v>1757501</v>
      </c>
      <c r="K98" s="16">
        <f t="shared" si="15"/>
        <v>1</v>
      </c>
    </row>
    <row r="99" spans="1:11" x14ac:dyDescent="0.25">
      <c r="A99" s="37">
        <v>44394</v>
      </c>
      <c r="B99" s="41"/>
      <c r="C99" s="41"/>
      <c r="D99" s="41"/>
      <c r="E99" s="41"/>
      <c r="F99" s="41"/>
      <c r="G99" s="41"/>
      <c r="H99" s="44">
        <f t="shared" si="16"/>
        <v>8262.125</v>
      </c>
      <c r="I99" s="44">
        <f t="shared" si="17"/>
        <v>1195670</v>
      </c>
      <c r="J99" s="49">
        <f t="shared" si="14"/>
        <v>1757501</v>
      </c>
      <c r="K99" s="16">
        <f t="shared" si="15"/>
        <v>1</v>
      </c>
    </row>
    <row r="100" spans="1:11" x14ac:dyDescent="0.25">
      <c r="A100" s="37">
        <v>44395</v>
      </c>
      <c r="B100" s="41"/>
      <c r="C100" s="41"/>
      <c r="D100" s="41"/>
      <c r="E100" s="41"/>
      <c r="F100" s="41"/>
      <c r="G100" s="41"/>
      <c r="H100" s="44">
        <f t="shared" si="16"/>
        <v>8262.125</v>
      </c>
      <c r="I100" s="44">
        <f t="shared" si="17"/>
        <v>1203932.125</v>
      </c>
      <c r="J100" s="49">
        <f t="shared" si="14"/>
        <v>1757501</v>
      </c>
      <c r="K100" s="16">
        <f t="shared" si="15"/>
        <v>1</v>
      </c>
    </row>
    <row r="101" spans="1:11" x14ac:dyDescent="0.25">
      <c r="A101" s="37">
        <v>44396</v>
      </c>
      <c r="B101" s="41"/>
      <c r="C101" s="41"/>
      <c r="D101" s="41"/>
      <c r="E101" s="41"/>
      <c r="F101" s="41"/>
      <c r="G101" s="41"/>
      <c r="H101" s="44">
        <f t="shared" si="16"/>
        <v>8262.125</v>
      </c>
      <c r="I101" s="44">
        <f t="shared" si="17"/>
        <v>1212194.25</v>
      </c>
      <c r="J101" s="49">
        <f t="shared" si="14"/>
        <v>1757501</v>
      </c>
      <c r="K101" s="16">
        <f t="shared" si="15"/>
        <v>1</v>
      </c>
    </row>
    <row r="102" spans="1:11" x14ac:dyDescent="0.25">
      <c r="A102" s="37">
        <v>44397</v>
      </c>
      <c r="B102" s="41"/>
      <c r="C102" s="41"/>
      <c r="D102" s="41"/>
      <c r="E102" s="41"/>
      <c r="F102" s="41"/>
      <c r="G102" s="41"/>
      <c r="H102" s="44">
        <f t="shared" si="16"/>
        <v>8262.125</v>
      </c>
      <c r="I102" s="44">
        <f t="shared" si="17"/>
        <v>1220456.375</v>
      </c>
      <c r="J102" s="49">
        <f t="shared" si="14"/>
        <v>1757501</v>
      </c>
      <c r="K102" s="16">
        <f t="shared" si="15"/>
        <v>1</v>
      </c>
    </row>
    <row r="103" spans="1:11" x14ac:dyDescent="0.25">
      <c r="A103" s="37">
        <v>44398</v>
      </c>
      <c r="B103" s="41"/>
      <c r="C103" s="41"/>
      <c r="D103" s="41"/>
      <c r="E103" s="41"/>
      <c r="F103" s="41"/>
      <c r="G103" s="41"/>
      <c r="H103" s="44">
        <f t="shared" si="16"/>
        <v>8262.125</v>
      </c>
      <c r="I103" s="44">
        <f t="shared" si="17"/>
        <v>1228718.5</v>
      </c>
      <c r="J103" s="49">
        <f t="shared" si="14"/>
        <v>1757501</v>
      </c>
      <c r="K103" s="16">
        <f t="shared" si="15"/>
        <v>1</v>
      </c>
    </row>
    <row r="104" spans="1:11" x14ac:dyDescent="0.25">
      <c r="A104" s="37">
        <v>44399</v>
      </c>
      <c r="B104" s="41"/>
      <c r="C104" s="41"/>
      <c r="D104" s="41"/>
      <c r="E104" s="41"/>
      <c r="F104" s="41"/>
      <c r="G104" s="41"/>
      <c r="H104" s="44">
        <f t="shared" si="16"/>
        <v>8262.125</v>
      </c>
      <c r="I104" s="44">
        <f t="shared" si="17"/>
        <v>1236980.625</v>
      </c>
      <c r="J104" s="49">
        <f t="shared" si="14"/>
        <v>1757501</v>
      </c>
      <c r="K104" s="16">
        <f t="shared" si="15"/>
        <v>1</v>
      </c>
    </row>
    <row r="105" spans="1:11" x14ac:dyDescent="0.25">
      <c r="A105" s="37">
        <v>44400</v>
      </c>
      <c r="B105" s="41"/>
      <c r="C105" s="41"/>
      <c r="D105" s="41"/>
      <c r="E105" s="41"/>
      <c r="F105" s="41"/>
      <c r="G105" s="41"/>
      <c r="H105" s="44">
        <f t="shared" si="16"/>
        <v>8262.125</v>
      </c>
      <c r="I105" s="44">
        <f t="shared" si="17"/>
        <v>1245242.75</v>
      </c>
      <c r="J105" s="49">
        <f t="shared" si="14"/>
        <v>1757501</v>
      </c>
      <c r="K105" s="16">
        <f t="shared" si="15"/>
        <v>1</v>
      </c>
    </row>
    <row r="106" spans="1:11" x14ac:dyDescent="0.25">
      <c r="A106" s="37">
        <v>44401</v>
      </c>
      <c r="B106" s="41"/>
      <c r="C106" s="41"/>
      <c r="D106" s="41"/>
      <c r="E106" s="41"/>
      <c r="F106" s="41"/>
      <c r="G106" s="41"/>
      <c r="H106" s="44">
        <f t="shared" si="16"/>
        <v>8262.125</v>
      </c>
      <c r="I106" s="44">
        <f t="shared" si="17"/>
        <v>1253504.875</v>
      </c>
      <c r="J106" s="49">
        <f t="shared" si="14"/>
        <v>1757501</v>
      </c>
      <c r="K106" s="16">
        <f t="shared" si="15"/>
        <v>1</v>
      </c>
    </row>
    <row r="107" spans="1:11" x14ac:dyDescent="0.25">
      <c r="A107" s="37">
        <v>44402</v>
      </c>
      <c r="B107" s="41"/>
      <c r="C107" s="41"/>
      <c r="D107" s="41"/>
      <c r="E107" s="41"/>
      <c r="F107" s="41"/>
      <c r="G107" s="41"/>
      <c r="H107" s="44">
        <f t="shared" si="16"/>
        <v>8262.125</v>
      </c>
      <c r="I107" s="44">
        <f t="shared" si="17"/>
        <v>1261767</v>
      </c>
      <c r="J107" s="49">
        <f t="shared" si="14"/>
        <v>1757501</v>
      </c>
      <c r="K107" s="16">
        <f t="shared" si="15"/>
        <v>1</v>
      </c>
    </row>
    <row r="108" spans="1:11" x14ac:dyDescent="0.25">
      <c r="A108" s="37">
        <v>44403</v>
      </c>
      <c r="B108" s="41"/>
      <c r="C108" s="41"/>
      <c r="D108" s="41"/>
      <c r="E108" s="41"/>
      <c r="F108" s="41"/>
      <c r="G108" s="41"/>
      <c r="H108" s="44">
        <f t="shared" si="16"/>
        <v>8262.125</v>
      </c>
      <c r="I108" s="44">
        <f t="shared" si="17"/>
        <v>1270029.125</v>
      </c>
      <c r="J108" s="49">
        <f t="shared" si="14"/>
        <v>1757501</v>
      </c>
      <c r="K108" s="16">
        <f t="shared" si="15"/>
        <v>1</v>
      </c>
    </row>
    <row r="109" spans="1:11" x14ac:dyDescent="0.25">
      <c r="A109" s="37">
        <v>44404</v>
      </c>
      <c r="B109" s="41"/>
      <c r="C109" s="41"/>
      <c r="D109" s="41"/>
      <c r="E109" s="41"/>
      <c r="F109" s="41"/>
      <c r="G109" s="41"/>
      <c r="H109" s="44">
        <f t="shared" si="16"/>
        <v>8262.125</v>
      </c>
      <c r="I109" s="44">
        <f t="shared" si="17"/>
        <v>1278291.25</v>
      </c>
      <c r="J109" s="49">
        <f t="shared" si="14"/>
        <v>1757501</v>
      </c>
      <c r="K109" s="16">
        <f t="shared" si="15"/>
        <v>1</v>
      </c>
    </row>
    <row r="110" spans="1:11" x14ac:dyDescent="0.25">
      <c r="A110" s="37">
        <v>44405</v>
      </c>
      <c r="B110" s="41"/>
      <c r="C110" s="41"/>
      <c r="D110" s="41"/>
      <c r="E110" s="41"/>
      <c r="F110" s="41"/>
      <c r="G110" s="41"/>
      <c r="H110" s="44">
        <f t="shared" si="16"/>
        <v>8262.125</v>
      </c>
      <c r="I110" s="44">
        <f t="shared" si="17"/>
        <v>1286553.375</v>
      </c>
      <c r="J110" s="49">
        <f t="shared" si="14"/>
        <v>1757501</v>
      </c>
      <c r="K110" s="16">
        <f t="shared" si="15"/>
        <v>1</v>
      </c>
    </row>
    <row r="111" spans="1:11" x14ac:dyDescent="0.25">
      <c r="A111" s="37">
        <v>44406</v>
      </c>
      <c r="B111" s="41"/>
      <c r="C111" s="41"/>
      <c r="D111" s="41"/>
      <c r="E111" s="41"/>
      <c r="F111" s="41"/>
      <c r="G111" s="41"/>
      <c r="H111" s="44">
        <f t="shared" si="16"/>
        <v>8262.125</v>
      </c>
      <c r="I111" s="44">
        <f t="shared" si="17"/>
        <v>1294815.5</v>
      </c>
      <c r="J111" s="49">
        <f t="shared" si="14"/>
        <v>1757501</v>
      </c>
      <c r="K111" s="16">
        <f t="shared" si="15"/>
        <v>1</v>
      </c>
    </row>
    <row r="112" spans="1:11" x14ac:dyDescent="0.25">
      <c r="A112" s="37">
        <v>44407</v>
      </c>
      <c r="B112" s="41"/>
      <c r="C112" s="41"/>
      <c r="D112" s="41"/>
      <c r="E112" s="41"/>
      <c r="F112" s="41"/>
      <c r="G112" s="41"/>
      <c r="H112" s="44">
        <f t="shared" si="16"/>
        <v>8262.125</v>
      </c>
      <c r="I112" s="44">
        <f t="shared" si="17"/>
        <v>1303077.625</v>
      </c>
      <c r="J112" s="49">
        <f t="shared" si="14"/>
        <v>1757501</v>
      </c>
      <c r="K112" s="16">
        <f t="shared" si="15"/>
        <v>1</v>
      </c>
    </row>
    <row r="113" spans="1:11" x14ac:dyDescent="0.25">
      <c r="A113" s="37">
        <v>44408</v>
      </c>
      <c r="B113" s="41"/>
      <c r="C113" s="41"/>
      <c r="D113" s="41"/>
      <c r="E113" s="41"/>
      <c r="F113" s="41"/>
      <c r="G113" s="41"/>
      <c r="H113" s="44">
        <f t="shared" si="16"/>
        <v>8262.125</v>
      </c>
      <c r="I113" s="44">
        <f t="shared" si="17"/>
        <v>1311339.75</v>
      </c>
      <c r="J113" s="49">
        <f t="shared" si="14"/>
        <v>1757501</v>
      </c>
      <c r="K113" s="16">
        <f t="shared" si="15"/>
        <v>1</v>
      </c>
    </row>
    <row r="114" spans="1:11" x14ac:dyDescent="0.25">
      <c r="A114" s="37">
        <v>44409</v>
      </c>
      <c r="B114" s="41"/>
      <c r="C114" s="41"/>
      <c r="D114" s="41"/>
      <c r="E114" s="41"/>
      <c r="F114" s="41"/>
      <c r="G114" s="41"/>
      <c r="H114" s="44">
        <f t="shared" si="16"/>
        <v>8262.125</v>
      </c>
      <c r="I114" s="44">
        <f t="shared" si="17"/>
        <v>1319601.875</v>
      </c>
      <c r="J114" s="49">
        <f t="shared" si="14"/>
        <v>1757501</v>
      </c>
      <c r="K114" s="16">
        <f t="shared" si="15"/>
        <v>1</v>
      </c>
    </row>
    <row r="115" spans="1:11" x14ac:dyDescent="0.25">
      <c r="A115" s="37">
        <v>44410</v>
      </c>
      <c r="B115" s="41"/>
      <c r="C115" s="41"/>
      <c r="D115" s="41"/>
      <c r="E115" s="41"/>
      <c r="F115" s="41"/>
      <c r="G115" s="41"/>
      <c r="H115" s="44">
        <f t="shared" si="16"/>
        <v>8262.125</v>
      </c>
      <c r="I115" s="44">
        <f t="shared" si="17"/>
        <v>1327864</v>
      </c>
      <c r="J115" s="49">
        <f t="shared" si="14"/>
        <v>1757501</v>
      </c>
      <c r="K115" s="16">
        <f t="shared" si="15"/>
        <v>1</v>
      </c>
    </row>
    <row r="116" spans="1:11" x14ac:dyDescent="0.25">
      <c r="A116" s="37">
        <v>44411</v>
      </c>
      <c r="B116" s="41"/>
      <c r="C116" s="41"/>
      <c r="D116" s="41"/>
      <c r="E116" s="41"/>
      <c r="F116" s="41"/>
      <c r="G116" s="41"/>
      <c r="H116" s="44">
        <f t="shared" si="16"/>
        <v>8262.125</v>
      </c>
      <c r="I116" s="44">
        <f t="shared" si="17"/>
        <v>1336126.125</v>
      </c>
      <c r="J116" s="49">
        <f t="shared" si="14"/>
        <v>1757501</v>
      </c>
      <c r="K116" s="16">
        <f t="shared" si="15"/>
        <v>1</v>
      </c>
    </row>
    <row r="117" spans="1:11" x14ac:dyDescent="0.25">
      <c r="A117" s="37">
        <v>44412</v>
      </c>
      <c r="B117" s="41"/>
      <c r="C117" s="41"/>
      <c r="D117" s="41"/>
      <c r="E117" s="41"/>
      <c r="F117" s="41"/>
      <c r="G117" s="41"/>
      <c r="H117" s="44">
        <f t="shared" si="16"/>
        <v>8262.125</v>
      </c>
      <c r="I117" s="44">
        <f t="shared" si="17"/>
        <v>1344388.25</v>
      </c>
      <c r="J117" s="49">
        <f t="shared" si="14"/>
        <v>1757501</v>
      </c>
      <c r="K117" s="16">
        <f t="shared" si="15"/>
        <v>1</v>
      </c>
    </row>
    <row r="118" spans="1:11" x14ac:dyDescent="0.25">
      <c r="A118" s="37">
        <v>44413</v>
      </c>
      <c r="B118" s="41"/>
      <c r="C118" s="41"/>
      <c r="D118" s="41"/>
      <c r="E118" s="41"/>
      <c r="F118" s="41"/>
      <c r="G118" s="41"/>
      <c r="H118" s="44">
        <f t="shared" si="16"/>
        <v>8262.125</v>
      </c>
      <c r="I118" s="44">
        <f t="shared" si="17"/>
        <v>1352650.375</v>
      </c>
      <c r="J118" s="49">
        <f t="shared" si="14"/>
        <v>1757501</v>
      </c>
      <c r="K118" s="16">
        <f t="shared" si="15"/>
        <v>1</v>
      </c>
    </row>
    <row r="119" spans="1:11" x14ac:dyDescent="0.25">
      <c r="A119" s="37">
        <v>44414</v>
      </c>
      <c r="B119" s="41"/>
      <c r="C119" s="41"/>
      <c r="D119" s="41"/>
      <c r="E119" s="41"/>
      <c r="F119" s="41"/>
      <c r="G119" s="41"/>
      <c r="H119" s="44">
        <f t="shared" si="16"/>
        <v>8262.125</v>
      </c>
      <c r="I119" s="44">
        <f t="shared" si="17"/>
        <v>1360912.5</v>
      </c>
      <c r="J119" s="49">
        <f t="shared" si="14"/>
        <v>1757501</v>
      </c>
      <c r="K119" s="16">
        <f t="shared" si="15"/>
        <v>1</v>
      </c>
    </row>
    <row r="120" spans="1:11" x14ac:dyDescent="0.25">
      <c r="A120" s="37">
        <v>44415</v>
      </c>
      <c r="B120" s="41"/>
      <c r="C120" s="41"/>
      <c r="D120" s="41"/>
      <c r="E120" s="41"/>
      <c r="F120" s="41"/>
      <c r="G120" s="41"/>
      <c r="H120" s="44">
        <f t="shared" si="16"/>
        <v>8262.125</v>
      </c>
      <c r="I120" s="44">
        <f t="shared" si="17"/>
        <v>1369174.625</v>
      </c>
      <c r="J120" s="49">
        <f t="shared" si="14"/>
        <v>1757501</v>
      </c>
      <c r="K120" s="16">
        <f t="shared" si="15"/>
        <v>1</v>
      </c>
    </row>
    <row r="121" spans="1:11" x14ac:dyDescent="0.25">
      <c r="A121" s="37">
        <v>44416</v>
      </c>
      <c r="B121" s="41"/>
      <c r="C121" s="41"/>
      <c r="D121" s="41"/>
      <c r="E121" s="41"/>
      <c r="F121" s="41"/>
      <c r="G121" s="41"/>
      <c r="H121" s="44">
        <f t="shared" si="16"/>
        <v>8262.125</v>
      </c>
      <c r="I121" s="44">
        <f t="shared" si="17"/>
        <v>1377436.75</v>
      </c>
      <c r="J121" s="49">
        <f t="shared" si="14"/>
        <v>1757501</v>
      </c>
      <c r="K121" s="16">
        <f t="shared" si="15"/>
        <v>1</v>
      </c>
    </row>
    <row r="122" spans="1:11" x14ac:dyDescent="0.25">
      <c r="A122" s="37">
        <v>44417</v>
      </c>
      <c r="B122" s="41"/>
      <c r="C122" s="41"/>
      <c r="D122" s="41"/>
      <c r="E122" s="41"/>
      <c r="F122" s="41"/>
      <c r="G122" s="41"/>
      <c r="H122" s="44">
        <f t="shared" si="16"/>
        <v>8262.125</v>
      </c>
      <c r="I122" s="44">
        <f t="shared" si="17"/>
        <v>1385698.875</v>
      </c>
      <c r="J122" s="49">
        <f t="shared" si="14"/>
        <v>1757501</v>
      </c>
      <c r="K122" s="16">
        <f t="shared" si="15"/>
        <v>1</v>
      </c>
    </row>
    <row r="123" spans="1:11" x14ac:dyDescent="0.25">
      <c r="A123" s="37">
        <v>44418</v>
      </c>
      <c r="B123" s="41"/>
      <c r="C123" s="41"/>
      <c r="D123" s="41"/>
      <c r="E123" s="41"/>
      <c r="F123" s="41"/>
      <c r="G123" s="41"/>
      <c r="H123" s="44">
        <f t="shared" si="16"/>
        <v>8262.125</v>
      </c>
      <c r="I123" s="44">
        <f t="shared" si="17"/>
        <v>1393961</v>
      </c>
      <c r="J123" s="49">
        <f t="shared" si="14"/>
        <v>1757501</v>
      </c>
      <c r="K123" s="16">
        <f t="shared" si="15"/>
        <v>1</v>
      </c>
    </row>
    <row r="124" spans="1:11" x14ac:dyDescent="0.25">
      <c r="A124" s="37">
        <v>44419</v>
      </c>
      <c r="B124" s="41"/>
      <c r="C124" s="41"/>
      <c r="D124" s="41"/>
      <c r="E124" s="41"/>
      <c r="F124" s="41"/>
      <c r="G124" s="41"/>
      <c r="H124" s="44">
        <f t="shared" si="16"/>
        <v>8262.125</v>
      </c>
      <c r="I124" s="44">
        <f t="shared" si="17"/>
        <v>1402223.125</v>
      </c>
      <c r="J124" s="49">
        <f t="shared" si="14"/>
        <v>1757501</v>
      </c>
      <c r="K124" s="16">
        <f t="shared" si="15"/>
        <v>1</v>
      </c>
    </row>
    <row r="125" spans="1:11" x14ac:dyDescent="0.25">
      <c r="A125" s="37">
        <v>44420</v>
      </c>
      <c r="B125" s="41"/>
      <c r="C125" s="41"/>
      <c r="D125" s="41"/>
      <c r="E125" s="41"/>
      <c r="F125" s="41"/>
      <c r="G125" s="41"/>
      <c r="H125" s="44">
        <f t="shared" si="16"/>
        <v>8262.125</v>
      </c>
      <c r="I125" s="44">
        <f t="shared" si="17"/>
        <v>1410485.25</v>
      </c>
      <c r="J125" s="49">
        <f t="shared" si="14"/>
        <v>1757501</v>
      </c>
      <c r="K125" s="16">
        <f t="shared" si="15"/>
        <v>1</v>
      </c>
    </row>
    <row r="126" spans="1:11" x14ac:dyDescent="0.25">
      <c r="A126" s="37">
        <v>44421</v>
      </c>
      <c r="B126" s="41"/>
      <c r="C126" s="41"/>
      <c r="D126" s="41"/>
      <c r="E126" s="41"/>
      <c r="F126" s="41"/>
      <c r="G126" s="41"/>
      <c r="H126" s="44">
        <f t="shared" si="16"/>
        <v>8262.125</v>
      </c>
      <c r="I126" s="44">
        <f t="shared" si="17"/>
        <v>1418747.375</v>
      </c>
      <c r="J126" s="49">
        <f t="shared" si="14"/>
        <v>1757501</v>
      </c>
      <c r="K126" s="16">
        <f t="shared" si="15"/>
        <v>1</v>
      </c>
    </row>
    <row r="127" spans="1:11" x14ac:dyDescent="0.25">
      <c r="A127" s="37">
        <v>44422</v>
      </c>
      <c r="B127" s="41"/>
      <c r="C127" s="41"/>
      <c r="D127" s="41"/>
      <c r="E127" s="41"/>
      <c r="F127" s="41"/>
      <c r="G127" s="41"/>
      <c r="H127" s="44">
        <f t="shared" si="16"/>
        <v>8262.125</v>
      </c>
      <c r="I127" s="44">
        <f t="shared" si="17"/>
        <v>1427009.5</v>
      </c>
      <c r="J127" s="49">
        <f t="shared" si="14"/>
        <v>1757501</v>
      </c>
      <c r="K127" s="16">
        <f t="shared" si="15"/>
        <v>1</v>
      </c>
    </row>
    <row r="128" spans="1:11" x14ac:dyDescent="0.25">
      <c r="A128" s="37">
        <v>44423</v>
      </c>
      <c r="B128" s="41"/>
      <c r="C128" s="41"/>
      <c r="D128" s="41"/>
      <c r="E128" s="41"/>
      <c r="F128" s="41"/>
      <c r="G128" s="41"/>
      <c r="H128" s="44">
        <f t="shared" si="16"/>
        <v>8262.125</v>
      </c>
      <c r="I128" s="44">
        <f t="shared" si="17"/>
        <v>1435271.625</v>
      </c>
      <c r="J128" s="49">
        <f t="shared" si="14"/>
        <v>1757501</v>
      </c>
      <c r="K128" s="16">
        <f t="shared" si="15"/>
        <v>1</v>
      </c>
    </row>
    <row r="129" spans="1:11" x14ac:dyDescent="0.25">
      <c r="A129" s="37">
        <v>44424</v>
      </c>
      <c r="B129" s="41"/>
      <c r="C129" s="41"/>
      <c r="D129" s="41"/>
      <c r="E129" s="41"/>
      <c r="F129" s="41"/>
      <c r="G129" s="41"/>
      <c r="H129" s="44">
        <f t="shared" si="16"/>
        <v>8262.125</v>
      </c>
      <c r="I129" s="44">
        <f t="shared" si="17"/>
        <v>1443533.75</v>
      </c>
      <c r="J129" s="49">
        <f t="shared" si="14"/>
        <v>1757501</v>
      </c>
      <c r="K129" s="16">
        <f t="shared" si="15"/>
        <v>1</v>
      </c>
    </row>
    <row r="130" spans="1:11" x14ac:dyDescent="0.25">
      <c r="A130" s="37">
        <v>44425</v>
      </c>
      <c r="B130" s="41"/>
      <c r="C130" s="41"/>
      <c r="D130" s="41"/>
      <c r="E130" s="41"/>
      <c r="F130" s="41"/>
      <c r="G130" s="41"/>
      <c r="H130" s="44">
        <f t="shared" si="16"/>
        <v>8262.125</v>
      </c>
      <c r="I130" s="44">
        <f t="shared" si="17"/>
        <v>1451795.875</v>
      </c>
      <c r="J130" s="49">
        <f t="shared" si="14"/>
        <v>1757501</v>
      </c>
      <c r="K130" s="16">
        <f t="shared" si="15"/>
        <v>1</v>
      </c>
    </row>
    <row r="131" spans="1:11" x14ac:dyDescent="0.25">
      <c r="A131" s="37">
        <v>44426</v>
      </c>
      <c r="B131" s="41"/>
      <c r="C131" s="41"/>
      <c r="D131" s="41"/>
      <c r="E131" s="41"/>
      <c r="F131" s="41"/>
      <c r="G131" s="41"/>
      <c r="H131" s="44">
        <f t="shared" si="16"/>
        <v>8262.125</v>
      </c>
      <c r="I131" s="44">
        <f t="shared" si="17"/>
        <v>1460058</v>
      </c>
      <c r="J131" s="49">
        <f t="shared" si="14"/>
        <v>1757501</v>
      </c>
      <c r="K131" s="16">
        <f t="shared" si="15"/>
        <v>1</v>
      </c>
    </row>
    <row r="132" spans="1:11" x14ac:dyDescent="0.25">
      <c r="A132" s="37">
        <v>44427</v>
      </c>
      <c r="B132" s="41"/>
      <c r="C132" s="41"/>
      <c r="D132" s="41"/>
      <c r="E132" s="41"/>
      <c r="F132" s="41"/>
      <c r="G132" s="41"/>
      <c r="H132" s="44">
        <f t="shared" si="16"/>
        <v>8262.125</v>
      </c>
      <c r="I132" s="44">
        <f t="shared" si="17"/>
        <v>1468320.125</v>
      </c>
      <c r="J132" s="49">
        <f t="shared" si="14"/>
        <v>1757501</v>
      </c>
      <c r="K132" s="16">
        <f t="shared" si="15"/>
        <v>1</v>
      </c>
    </row>
    <row r="133" spans="1:11" x14ac:dyDescent="0.25">
      <c r="A133" s="37">
        <v>44428</v>
      </c>
      <c r="B133" s="41"/>
      <c r="C133" s="41"/>
      <c r="D133" s="41"/>
      <c r="E133" s="41"/>
      <c r="F133" s="41"/>
      <c r="G133" s="41"/>
      <c r="H133" s="44">
        <f t="shared" si="16"/>
        <v>8262.125</v>
      </c>
      <c r="I133" s="44">
        <f t="shared" si="17"/>
        <v>1476582.25</v>
      </c>
      <c r="J133" s="49">
        <f t="shared" si="14"/>
        <v>1757501</v>
      </c>
      <c r="K133" s="16">
        <f t="shared" si="15"/>
        <v>1</v>
      </c>
    </row>
    <row r="134" spans="1:11" x14ac:dyDescent="0.25">
      <c r="A134" s="37">
        <v>44429</v>
      </c>
      <c r="B134" s="41"/>
      <c r="C134" s="41"/>
      <c r="D134" s="41"/>
      <c r="E134" s="41"/>
      <c r="F134" s="41"/>
      <c r="G134" s="41"/>
      <c r="H134" s="44">
        <f t="shared" si="16"/>
        <v>8262.125</v>
      </c>
      <c r="I134" s="44">
        <f t="shared" si="17"/>
        <v>1484844.375</v>
      </c>
      <c r="J134" s="49">
        <f t="shared" ref="J134:J197" si="18">HIT_Target</f>
        <v>1757501</v>
      </c>
      <c r="K134" s="16">
        <f t="shared" si="15"/>
        <v>1</v>
      </c>
    </row>
    <row r="135" spans="1:11" x14ac:dyDescent="0.25">
      <c r="A135" s="37">
        <v>44430</v>
      </c>
      <c r="B135" s="41"/>
      <c r="C135" s="41"/>
      <c r="D135" s="41"/>
      <c r="E135" s="41"/>
      <c r="F135" s="41"/>
      <c r="G135" s="41"/>
      <c r="H135" s="44">
        <f t="shared" si="16"/>
        <v>8262.125</v>
      </c>
      <c r="I135" s="44">
        <f t="shared" si="17"/>
        <v>1493106.5</v>
      </c>
      <c r="J135" s="49">
        <f t="shared" si="18"/>
        <v>1757501</v>
      </c>
      <c r="K135" s="16">
        <f t="shared" ref="K135:K198" si="19">IF(I135&gt;J135,0,1)</f>
        <v>1</v>
      </c>
    </row>
    <row r="136" spans="1:11" x14ac:dyDescent="0.25">
      <c r="A136" s="37">
        <v>44431</v>
      </c>
      <c r="B136" s="41"/>
      <c r="C136" s="41"/>
      <c r="D136" s="41"/>
      <c r="E136" s="41"/>
      <c r="F136" s="41"/>
      <c r="G136" s="41"/>
      <c r="H136" s="44">
        <f t="shared" si="16"/>
        <v>8262.125</v>
      </c>
      <c r="I136" s="44">
        <f t="shared" si="17"/>
        <v>1501368.625</v>
      </c>
      <c r="J136" s="49">
        <f t="shared" si="18"/>
        <v>1757501</v>
      </c>
      <c r="K136" s="16">
        <f t="shared" si="19"/>
        <v>1</v>
      </c>
    </row>
    <row r="137" spans="1:11" x14ac:dyDescent="0.25">
      <c r="A137" s="37">
        <v>44432</v>
      </c>
      <c r="B137" s="41"/>
      <c r="C137" s="41"/>
      <c r="D137" s="41"/>
      <c r="E137" s="41"/>
      <c r="F137" s="41"/>
      <c r="G137" s="41"/>
      <c r="H137" s="44">
        <f t="shared" si="16"/>
        <v>8262.125</v>
      </c>
      <c r="I137" s="44">
        <f t="shared" si="17"/>
        <v>1509630.75</v>
      </c>
      <c r="J137" s="49">
        <f t="shared" si="18"/>
        <v>1757501</v>
      </c>
      <c r="K137" s="16">
        <f t="shared" si="19"/>
        <v>1</v>
      </c>
    </row>
    <row r="138" spans="1:11" x14ac:dyDescent="0.25">
      <c r="A138" s="37">
        <v>44433</v>
      </c>
      <c r="B138" s="41"/>
      <c r="C138" s="41"/>
      <c r="D138" s="41"/>
      <c r="E138" s="41"/>
      <c r="F138" s="41"/>
      <c r="G138" s="41"/>
      <c r="H138" s="44">
        <f t="shared" si="16"/>
        <v>8262.125</v>
      </c>
      <c r="I138" s="44">
        <f t="shared" si="17"/>
        <v>1517892.875</v>
      </c>
      <c r="J138" s="49">
        <f t="shared" si="18"/>
        <v>1757501</v>
      </c>
      <c r="K138" s="16">
        <f t="shared" si="19"/>
        <v>1</v>
      </c>
    </row>
    <row r="139" spans="1:11" x14ac:dyDescent="0.25">
      <c r="A139" s="37">
        <v>44434</v>
      </c>
      <c r="B139" s="41"/>
      <c r="C139" s="41"/>
      <c r="D139" s="41"/>
      <c r="E139" s="41"/>
      <c r="F139" s="41"/>
      <c r="G139" s="41"/>
      <c r="H139" s="44">
        <f t="shared" si="16"/>
        <v>8262.125</v>
      </c>
      <c r="I139" s="44">
        <f t="shared" si="17"/>
        <v>1526155</v>
      </c>
      <c r="J139" s="49">
        <f t="shared" si="18"/>
        <v>1757501</v>
      </c>
      <c r="K139" s="16">
        <f t="shared" si="19"/>
        <v>1</v>
      </c>
    </row>
    <row r="140" spans="1:11" x14ac:dyDescent="0.25">
      <c r="A140" s="37">
        <v>44435</v>
      </c>
      <c r="B140" s="41"/>
      <c r="C140" s="41"/>
      <c r="D140" s="41"/>
      <c r="E140" s="41"/>
      <c r="F140" s="41"/>
      <c r="G140" s="41"/>
      <c r="H140" s="44">
        <f t="shared" si="16"/>
        <v>8262.125</v>
      </c>
      <c r="I140" s="44">
        <f t="shared" si="17"/>
        <v>1534417.125</v>
      </c>
      <c r="J140" s="49">
        <f t="shared" si="18"/>
        <v>1757501</v>
      </c>
      <c r="K140" s="16">
        <f t="shared" si="19"/>
        <v>1</v>
      </c>
    </row>
    <row r="141" spans="1:11" x14ac:dyDescent="0.25">
      <c r="A141" s="37">
        <v>44436</v>
      </c>
      <c r="B141" s="41"/>
      <c r="C141" s="41"/>
      <c r="D141" s="41"/>
      <c r="E141" s="41"/>
      <c r="F141" s="41"/>
      <c r="G141" s="41"/>
      <c r="H141" s="44">
        <f t="shared" si="16"/>
        <v>8262.125</v>
      </c>
      <c r="I141" s="44">
        <f t="shared" si="17"/>
        <v>1542679.25</v>
      </c>
      <c r="J141" s="49">
        <f t="shared" si="18"/>
        <v>1757501</v>
      </c>
      <c r="K141" s="16">
        <f t="shared" si="19"/>
        <v>1</v>
      </c>
    </row>
    <row r="142" spans="1:11" x14ac:dyDescent="0.25">
      <c r="A142" s="37">
        <v>44437</v>
      </c>
      <c r="B142" s="41"/>
      <c r="C142" s="41"/>
      <c r="D142" s="41"/>
      <c r="E142" s="41"/>
      <c r="F142" s="41"/>
      <c r="G142" s="41"/>
      <c r="H142" s="44">
        <f t="shared" si="16"/>
        <v>8262.125</v>
      </c>
      <c r="I142" s="44">
        <f t="shared" si="17"/>
        <v>1550941.375</v>
      </c>
      <c r="J142" s="49">
        <f t="shared" si="18"/>
        <v>1757501</v>
      </c>
      <c r="K142" s="16">
        <f t="shared" si="19"/>
        <v>1</v>
      </c>
    </row>
    <row r="143" spans="1:11" x14ac:dyDescent="0.25">
      <c r="A143" s="37">
        <v>44438</v>
      </c>
      <c r="B143" s="41"/>
      <c r="C143" s="41"/>
      <c r="D143" s="41"/>
      <c r="E143" s="41"/>
      <c r="F143" s="41"/>
      <c r="G143" s="41"/>
      <c r="H143" s="44">
        <f t="shared" si="16"/>
        <v>8262.125</v>
      </c>
      <c r="I143" s="44">
        <f t="shared" si="17"/>
        <v>1559203.5</v>
      </c>
      <c r="J143" s="49">
        <f t="shared" si="18"/>
        <v>1757501</v>
      </c>
      <c r="K143" s="16">
        <f t="shared" si="19"/>
        <v>1</v>
      </c>
    </row>
    <row r="144" spans="1:11" x14ac:dyDescent="0.25">
      <c r="A144" s="37">
        <v>44439</v>
      </c>
      <c r="B144" s="41"/>
      <c r="C144" s="41"/>
      <c r="D144" s="41"/>
      <c r="E144" s="41"/>
      <c r="F144" s="41"/>
      <c r="G144" s="41"/>
      <c r="H144" s="44">
        <f t="shared" si="16"/>
        <v>8262.125</v>
      </c>
      <c r="I144" s="44">
        <f t="shared" si="17"/>
        <v>1567465.625</v>
      </c>
      <c r="J144" s="49">
        <f t="shared" si="18"/>
        <v>1757501</v>
      </c>
      <c r="K144" s="16">
        <f t="shared" si="19"/>
        <v>1</v>
      </c>
    </row>
    <row r="145" spans="1:11" x14ac:dyDescent="0.25">
      <c r="A145" s="37">
        <v>44440</v>
      </c>
      <c r="B145" s="41"/>
      <c r="C145" s="41"/>
      <c r="D145" s="41"/>
      <c r="E145" s="41"/>
      <c r="F145" s="41"/>
      <c r="G145" s="41"/>
      <c r="H145" s="44">
        <f t="shared" ref="H145:H208" si="20">IF(F145=0,H144,AVERAGE(F138:F145))</f>
        <v>8262.125</v>
      </c>
      <c r="I145" s="44">
        <f t="shared" ref="I145:I208" si="21">I144+H144</f>
        <v>1575727.75</v>
      </c>
      <c r="J145" s="49">
        <f t="shared" si="18"/>
        <v>1757501</v>
      </c>
      <c r="K145" s="16">
        <f t="shared" si="19"/>
        <v>1</v>
      </c>
    </row>
    <row r="146" spans="1:11" x14ac:dyDescent="0.25">
      <c r="A146" s="37">
        <v>44441</v>
      </c>
      <c r="B146" s="41"/>
      <c r="C146" s="41"/>
      <c r="D146" s="41"/>
      <c r="E146" s="41"/>
      <c r="F146" s="41"/>
      <c r="G146" s="41"/>
      <c r="H146" s="44">
        <f t="shared" si="20"/>
        <v>8262.125</v>
      </c>
      <c r="I146" s="44">
        <f t="shared" si="21"/>
        <v>1583989.875</v>
      </c>
      <c r="J146" s="49">
        <f t="shared" si="18"/>
        <v>1757501</v>
      </c>
      <c r="K146" s="16">
        <f t="shared" si="19"/>
        <v>1</v>
      </c>
    </row>
    <row r="147" spans="1:11" x14ac:dyDescent="0.25">
      <c r="A147" s="37">
        <v>44442</v>
      </c>
      <c r="B147" s="41"/>
      <c r="C147" s="41"/>
      <c r="D147" s="41"/>
      <c r="E147" s="41"/>
      <c r="F147" s="41"/>
      <c r="G147" s="41"/>
      <c r="H147" s="44">
        <f t="shared" si="20"/>
        <v>8262.125</v>
      </c>
      <c r="I147" s="44">
        <f t="shared" si="21"/>
        <v>1592252</v>
      </c>
      <c r="J147" s="49">
        <f t="shared" si="18"/>
        <v>1757501</v>
      </c>
      <c r="K147" s="16">
        <f t="shared" si="19"/>
        <v>1</v>
      </c>
    </row>
    <row r="148" spans="1:11" x14ac:dyDescent="0.25">
      <c r="A148" s="37">
        <v>44443</v>
      </c>
      <c r="B148" s="41"/>
      <c r="C148" s="41"/>
      <c r="D148" s="41"/>
      <c r="E148" s="41"/>
      <c r="F148" s="41"/>
      <c r="G148" s="41"/>
      <c r="H148" s="44">
        <f t="shared" si="20"/>
        <v>8262.125</v>
      </c>
      <c r="I148" s="44">
        <f t="shared" si="21"/>
        <v>1600514.125</v>
      </c>
      <c r="J148" s="49">
        <f t="shared" si="18"/>
        <v>1757501</v>
      </c>
      <c r="K148" s="16">
        <f t="shared" si="19"/>
        <v>1</v>
      </c>
    </row>
    <row r="149" spans="1:11" x14ac:dyDescent="0.25">
      <c r="A149" s="37">
        <v>44444</v>
      </c>
      <c r="B149" s="41"/>
      <c r="C149" s="41"/>
      <c r="D149" s="41"/>
      <c r="E149" s="41"/>
      <c r="F149" s="41"/>
      <c r="G149" s="41"/>
      <c r="H149" s="44">
        <f t="shared" si="20"/>
        <v>8262.125</v>
      </c>
      <c r="I149" s="44">
        <f t="shared" si="21"/>
        <v>1608776.25</v>
      </c>
      <c r="J149" s="49">
        <f t="shared" si="18"/>
        <v>1757501</v>
      </c>
      <c r="K149" s="16">
        <f t="shared" si="19"/>
        <v>1</v>
      </c>
    </row>
    <row r="150" spans="1:11" x14ac:dyDescent="0.25">
      <c r="A150" s="37">
        <v>44445</v>
      </c>
      <c r="B150" s="41"/>
      <c r="C150" s="41"/>
      <c r="D150" s="41"/>
      <c r="E150" s="41"/>
      <c r="F150" s="41"/>
      <c r="G150" s="41"/>
      <c r="H150" s="44">
        <f t="shared" si="20"/>
        <v>8262.125</v>
      </c>
      <c r="I150" s="44">
        <f t="shared" si="21"/>
        <v>1617038.375</v>
      </c>
      <c r="J150" s="49">
        <f t="shared" si="18"/>
        <v>1757501</v>
      </c>
      <c r="K150" s="16">
        <f t="shared" si="19"/>
        <v>1</v>
      </c>
    </row>
    <row r="151" spans="1:11" x14ac:dyDescent="0.25">
      <c r="A151" s="37">
        <v>44446</v>
      </c>
      <c r="B151" s="41"/>
      <c r="C151" s="41"/>
      <c r="D151" s="41"/>
      <c r="E151" s="41"/>
      <c r="F151" s="41"/>
      <c r="G151" s="41"/>
      <c r="H151" s="44">
        <f t="shared" si="20"/>
        <v>8262.125</v>
      </c>
      <c r="I151" s="44">
        <f t="shared" si="21"/>
        <v>1625300.5</v>
      </c>
      <c r="J151" s="49">
        <f t="shared" si="18"/>
        <v>1757501</v>
      </c>
      <c r="K151" s="16">
        <f t="shared" si="19"/>
        <v>1</v>
      </c>
    </row>
    <row r="152" spans="1:11" x14ac:dyDescent="0.25">
      <c r="A152" s="37">
        <v>44447</v>
      </c>
      <c r="B152" s="41"/>
      <c r="C152" s="41"/>
      <c r="D152" s="41"/>
      <c r="E152" s="41"/>
      <c r="F152" s="41"/>
      <c r="G152" s="41"/>
      <c r="H152" s="44">
        <f t="shared" si="20"/>
        <v>8262.125</v>
      </c>
      <c r="I152" s="44">
        <f t="shared" si="21"/>
        <v>1633562.625</v>
      </c>
      <c r="J152" s="49">
        <f t="shared" si="18"/>
        <v>1757501</v>
      </c>
      <c r="K152" s="16">
        <f t="shared" si="19"/>
        <v>1</v>
      </c>
    </row>
    <row r="153" spans="1:11" x14ac:dyDescent="0.25">
      <c r="A153" s="37">
        <v>44448</v>
      </c>
      <c r="B153" s="41"/>
      <c r="C153" s="41"/>
      <c r="D153" s="41"/>
      <c r="E153" s="41"/>
      <c r="F153" s="41"/>
      <c r="G153" s="41"/>
      <c r="H153" s="44">
        <f t="shared" si="20"/>
        <v>8262.125</v>
      </c>
      <c r="I153" s="44">
        <f t="shared" si="21"/>
        <v>1641824.75</v>
      </c>
      <c r="J153" s="49">
        <f t="shared" si="18"/>
        <v>1757501</v>
      </c>
      <c r="K153" s="16">
        <f t="shared" si="19"/>
        <v>1</v>
      </c>
    </row>
    <row r="154" spans="1:11" x14ac:dyDescent="0.25">
      <c r="A154" s="37">
        <v>44449</v>
      </c>
      <c r="B154" s="41"/>
      <c r="C154" s="41"/>
      <c r="D154" s="41"/>
      <c r="E154" s="41"/>
      <c r="F154" s="41"/>
      <c r="G154" s="41"/>
      <c r="H154" s="44">
        <f t="shared" si="20"/>
        <v>8262.125</v>
      </c>
      <c r="I154" s="44">
        <f t="shared" si="21"/>
        <v>1650086.875</v>
      </c>
      <c r="J154" s="49">
        <f t="shared" si="18"/>
        <v>1757501</v>
      </c>
      <c r="K154" s="16">
        <f t="shared" si="19"/>
        <v>1</v>
      </c>
    </row>
    <row r="155" spans="1:11" x14ac:dyDescent="0.25">
      <c r="A155" s="37">
        <v>44450</v>
      </c>
      <c r="B155" s="41"/>
      <c r="C155" s="41"/>
      <c r="D155" s="41"/>
      <c r="E155" s="41"/>
      <c r="F155" s="41"/>
      <c r="G155" s="41"/>
      <c r="H155" s="44">
        <f t="shared" si="20"/>
        <v>8262.125</v>
      </c>
      <c r="I155" s="44">
        <f t="shared" si="21"/>
        <v>1658349</v>
      </c>
      <c r="J155" s="49">
        <f t="shared" si="18"/>
        <v>1757501</v>
      </c>
      <c r="K155" s="16">
        <f t="shared" si="19"/>
        <v>1</v>
      </c>
    </row>
    <row r="156" spans="1:11" x14ac:dyDescent="0.25">
      <c r="A156" s="37">
        <v>44451</v>
      </c>
      <c r="B156" s="41"/>
      <c r="C156" s="41"/>
      <c r="D156" s="41"/>
      <c r="E156" s="41"/>
      <c r="F156" s="41"/>
      <c r="G156" s="41"/>
      <c r="H156" s="44">
        <f t="shared" si="20"/>
        <v>8262.125</v>
      </c>
      <c r="I156" s="44">
        <f t="shared" si="21"/>
        <v>1666611.125</v>
      </c>
      <c r="J156" s="49">
        <f t="shared" si="18"/>
        <v>1757501</v>
      </c>
      <c r="K156" s="16">
        <f t="shared" si="19"/>
        <v>1</v>
      </c>
    </row>
    <row r="157" spans="1:11" x14ac:dyDescent="0.25">
      <c r="A157" s="37">
        <v>44452</v>
      </c>
      <c r="B157" s="41"/>
      <c r="C157" s="41"/>
      <c r="D157" s="41"/>
      <c r="E157" s="41"/>
      <c r="F157" s="41"/>
      <c r="G157" s="41"/>
      <c r="H157" s="44">
        <f t="shared" si="20"/>
        <v>8262.125</v>
      </c>
      <c r="I157" s="44">
        <f t="shared" si="21"/>
        <v>1674873.25</v>
      </c>
      <c r="J157" s="49">
        <f t="shared" si="18"/>
        <v>1757501</v>
      </c>
      <c r="K157" s="16">
        <f t="shared" si="19"/>
        <v>1</v>
      </c>
    </row>
    <row r="158" spans="1:11" x14ac:dyDescent="0.25">
      <c r="A158" s="37">
        <v>44453</v>
      </c>
      <c r="B158" s="41"/>
      <c r="C158" s="41"/>
      <c r="D158" s="41"/>
      <c r="E158" s="41"/>
      <c r="F158" s="41"/>
      <c r="G158" s="41"/>
      <c r="H158" s="44">
        <f t="shared" si="20"/>
        <v>8262.125</v>
      </c>
      <c r="I158" s="44">
        <f t="shared" si="21"/>
        <v>1683135.375</v>
      </c>
      <c r="J158" s="49">
        <f t="shared" si="18"/>
        <v>1757501</v>
      </c>
      <c r="K158" s="16">
        <f t="shared" si="19"/>
        <v>1</v>
      </c>
    </row>
    <row r="159" spans="1:11" x14ac:dyDescent="0.25">
      <c r="A159" s="37">
        <v>44454</v>
      </c>
      <c r="B159" s="41"/>
      <c r="C159" s="41"/>
      <c r="D159" s="41"/>
      <c r="E159" s="41"/>
      <c r="F159" s="41"/>
      <c r="G159" s="41"/>
      <c r="H159" s="44">
        <f t="shared" si="20"/>
        <v>8262.125</v>
      </c>
      <c r="I159" s="44">
        <f t="shared" si="21"/>
        <v>1691397.5</v>
      </c>
      <c r="J159" s="49">
        <f t="shared" si="18"/>
        <v>1757501</v>
      </c>
      <c r="K159" s="16">
        <f t="shared" si="19"/>
        <v>1</v>
      </c>
    </row>
    <row r="160" spans="1:11" x14ac:dyDescent="0.25">
      <c r="A160" s="37">
        <v>44455</v>
      </c>
      <c r="B160" s="41"/>
      <c r="C160" s="41"/>
      <c r="D160" s="41"/>
      <c r="E160" s="41"/>
      <c r="F160" s="41"/>
      <c r="G160" s="41"/>
      <c r="H160" s="44">
        <f t="shared" si="20"/>
        <v>8262.125</v>
      </c>
      <c r="I160" s="44">
        <f t="shared" si="21"/>
        <v>1699659.625</v>
      </c>
      <c r="J160" s="49">
        <f t="shared" si="18"/>
        <v>1757501</v>
      </c>
      <c r="K160" s="16">
        <f t="shared" si="19"/>
        <v>1</v>
      </c>
    </row>
    <row r="161" spans="1:11" x14ac:dyDescent="0.25">
      <c r="A161" s="37">
        <v>44456</v>
      </c>
      <c r="B161" s="41"/>
      <c r="C161" s="41"/>
      <c r="D161" s="41"/>
      <c r="E161" s="41"/>
      <c r="F161" s="41"/>
      <c r="G161" s="41"/>
      <c r="H161" s="44">
        <f t="shared" si="20"/>
        <v>8262.125</v>
      </c>
      <c r="I161" s="44">
        <f t="shared" si="21"/>
        <v>1707921.75</v>
      </c>
      <c r="J161" s="49">
        <f t="shared" si="18"/>
        <v>1757501</v>
      </c>
      <c r="K161" s="16">
        <f t="shared" si="19"/>
        <v>1</v>
      </c>
    </row>
    <row r="162" spans="1:11" x14ac:dyDescent="0.25">
      <c r="A162" s="37">
        <v>44457</v>
      </c>
      <c r="B162" s="41"/>
      <c r="C162" s="41"/>
      <c r="D162" s="41"/>
      <c r="E162" s="41"/>
      <c r="F162" s="41"/>
      <c r="G162" s="41"/>
      <c r="H162" s="44">
        <f t="shared" si="20"/>
        <v>8262.125</v>
      </c>
      <c r="I162" s="44">
        <f t="shared" si="21"/>
        <v>1716183.875</v>
      </c>
      <c r="J162" s="49">
        <f t="shared" si="18"/>
        <v>1757501</v>
      </c>
      <c r="K162" s="16">
        <f t="shared" si="19"/>
        <v>1</v>
      </c>
    </row>
    <row r="163" spans="1:11" x14ac:dyDescent="0.25">
      <c r="A163" s="37">
        <v>44458</v>
      </c>
      <c r="B163" s="41"/>
      <c r="C163" s="41"/>
      <c r="D163" s="41"/>
      <c r="E163" s="41"/>
      <c r="F163" s="41"/>
      <c r="G163" s="41"/>
      <c r="H163" s="44">
        <f t="shared" si="20"/>
        <v>8262.125</v>
      </c>
      <c r="I163" s="44">
        <f t="shared" si="21"/>
        <v>1724446</v>
      </c>
      <c r="J163" s="49">
        <f t="shared" si="18"/>
        <v>1757501</v>
      </c>
      <c r="K163" s="16">
        <f t="shared" si="19"/>
        <v>1</v>
      </c>
    </row>
    <row r="164" spans="1:11" x14ac:dyDescent="0.25">
      <c r="A164" s="37">
        <v>44459</v>
      </c>
      <c r="B164" s="41"/>
      <c r="C164" s="41"/>
      <c r="D164" s="41"/>
      <c r="E164" s="41"/>
      <c r="F164" s="41"/>
      <c r="G164" s="41"/>
      <c r="H164" s="44">
        <f t="shared" si="20"/>
        <v>8262.125</v>
      </c>
      <c r="I164" s="44">
        <f t="shared" si="21"/>
        <v>1732708.125</v>
      </c>
      <c r="J164" s="49">
        <f t="shared" si="18"/>
        <v>1757501</v>
      </c>
      <c r="K164" s="16">
        <f t="shared" si="19"/>
        <v>1</v>
      </c>
    </row>
    <row r="165" spans="1:11" x14ac:dyDescent="0.25">
      <c r="A165" s="37">
        <v>44460</v>
      </c>
      <c r="B165" s="41"/>
      <c r="C165" s="41"/>
      <c r="D165" s="41"/>
      <c r="E165" s="41"/>
      <c r="F165" s="41"/>
      <c r="G165" s="41"/>
      <c r="H165" s="44">
        <f t="shared" si="20"/>
        <v>8262.125</v>
      </c>
      <c r="I165" s="44">
        <f t="shared" si="21"/>
        <v>1740970.25</v>
      </c>
      <c r="J165" s="49">
        <f t="shared" si="18"/>
        <v>1757501</v>
      </c>
      <c r="K165" s="16">
        <f t="shared" si="19"/>
        <v>1</v>
      </c>
    </row>
    <row r="166" spans="1:11" x14ac:dyDescent="0.25">
      <c r="A166" s="37">
        <v>44461</v>
      </c>
      <c r="B166" s="41"/>
      <c r="C166" s="41"/>
      <c r="D166" s="41"/>
      <c r="E166" s="41"/>
      <c r="F166" s="41"/>
      <c r="G166" s="41"/>
      <c r="H166" s="44">
        <f t="shared" si="20"/>
        <v>8262.125</v>
      </c>
      <c r="I166" s="44">
        <f t="shared" si="21"/>
        <v>1749232.375</v>
      </c>
      <c r="J166" s="49">
        <f t="shared" si="18"/>
        <v>1757501</v>
      </c>
      <c r="K166" s="16">
        <f t="shared" si="19"/>
        <v>1</v>
      </c>
    </row>
    <row r="167" spans="1:11" x14ac:dyDescent="0.25">
      <c r="A167" s="37">
        <v>44462</v>
      </c>
      <c r="B167" s="41"/>
      <c r="C167" s="41"/>
      <c r="D167" s="41"/>
      <c r="E167" s="41"/>
      <c r="F167" s="41"/>
      <c r="G167" s="41"/>
      <c r="H167" s="44">
        <f t="shared" si="20"/>
        <v>8262.125</v>
      </c>
      <c r="I167" s="44">
        <f t="shared" si="21"/>
        <v>1757494.5</v>
      </c>
      <c r="J167" s="49">
        <f t="shared" si="18"/>
        <v>1757501</v>
      </c>
      <c r="K167" s="16">
        <f t="shared" si="19"/>
        <v>1</v>
      </c>
    </row>
    <row r="168" spans="1:11" x14ac:dyDescent="0.25">
      <c r="A168" s="37">
        <v>44463</v>
      </c>
      <c r="B168" s="41"/>
      <c r="C168" s="41"/>
      <c r="D168" s="41"/>
      <c r="E168" s="41"/>
      <c r="F168" s="41"/>
      <c r="G168" s="41"/>
      <c r="H168" s="44">
        <f t="shared" si="20"/>
        <v>8262.125</v>
      </c>
      <c r="I168" s="44">
        <f t="shared" si="21"/>
        <v>1765756.625</v>
      </c>
      <c r="J168" s="49">
        <f t="shared" si="18"/>
        <v>1757501</v>
      </c>
      <c r="K168" s="16">
        <f t="shared" si="19"/>
        <v>0</v>
      </c>
    </row>
    <row r="169" spans="1:11" x14ac:dyDescent="0.25">
      <c r="A169" s="37">
        <v>44464</v>
      </c>
      <c r="B169" s="41"/>
      <c r="C169" s="41"/>
      <c r="D169" s="41"/>
      <c r="E169" s="41"/>
      <c r="F169" s="41"/>
      <c r="G169" s="41"/>
      <c r="H169" s="44">
        <f t="shared" si="20"/>
        <v>8262.125</v>
      </c>
      <c r="I169" s="44">
        <f t="shared" si="21"/>
        <v>1774018.75</v>
      </c>
      <c r="J169" s="49">
        <f t="shared" si="18"/>
        <v>1757501</v>
      </c>
      <c r="K169" s="16">
        <f t="shared" si="19"/>
        <v>0</v>
      </c>
    </row>
    <row r="170" spans="1:11" x14ac:dyDescent="0.25">
      <c r="A170" s="37">
        <v>44465</v>
      </c>
      <c r="B170" s="41"/>
      <c r="C170" s="41"/>
      <c r="D170" s="41"/>
      <c r="E170" s="41"/>
      <c r="F170" s="41"/>
      <c r="G170" s="41"/>
      <c r="H170" s="44">
        <f t="shared" si="20"/>
        <v>8262.125</v>
      </c>
      <c r="I170" s="44">
        <f t="shared" si="21"/>
        <v>1782280.875</v>
      </c>
      <c r="J170" s="49">
        <f t="shared" si="18"/>
        <v>1757501</v>
      </c>
      <c r="K170" s="16">
        <f t="shared" si="19"/>
        <v>0</v>
      </c>
    </row>
    <row r="171" spans="1:11" x14ac:dyDescent="0.25">
      <c r="A171" s="37">
        <v>44466</v>
      </c>
      <c r="B171" s="41"/>
      <c r="C171" s="41"/>
      <c r="D171" s="41"/>
      <c r="E171" s="41"/>
      <c r="F171" s="41"/>
      <c r="G171" s="41"/>
      <c r="H171" s="44">
        <f t="shared" si="20"/>
        <v>8262.125</v>
      </c>
      <c r="I171" s="44">
        <f t="shared" si="21"/>
        <v>1790543</v>
      </c>
      <c r="J171" s="49">
        <f t="shared" si="18"/>
        <v>1757501</v>
      </c>
      <c r="K171" s="16">
        <f t="shared" si="19"/>
        <v>0</v>
      </c>
    </row>
    <row r="172" spans="1:11" x14ac:dyDescent="0.25">
      <c r="A172" s="37">
        <v>44467</v>
      </c>
      <c r="B172" s="41"/>
      <c r="C172" s="41"/>
      <c r="D172" s="41"/>
      <c r="E172" s="41"/>
      <c r="F172" s="41"/>
      <c r="G172" s="41"/>
      <c r="H172" s="44">
        <f t="shared" si="20"/>
        <v>8262.125</v>
      </c>
      <c r="I172" s="44">
        <f t="shared" si="21"/>
        <v>1798805.125</v>
      </c>
      <c r="J172" s="49">
        <f t="shared" si="18"/>
        <v>1757501</v>
      </c>
      <c r="K172" s="16">
        <f t="shared" si="19"/>
        <v>0</v>
      </c>
    </row>
    <row r="173" spans="1:11" x14ac:dyDescent="0.25">
      <c r="A173" s="37">
        <v>44468</v>
      </c>
      <c r="B173" s="41"/>
      <c r="C173" s="41"/>
      <c r="D173" s="41"/>
      <c r="E173" s="41"/>
      <c r="F173" s="41"/>
      <c r="G173" s="41"/>
      <c r="H173" s="44">
        <f t="shared" si="20"/>
        <v>8262.125</v>
      </c>
      <c r="I173" s="44">
        <f t="shared" si="21"/>
        <v>1807067.25</v>
      </c>
      <c r="J173" s="49">
        <f t="shared" si="18"/>
        <v>1757501</v>
      </c>
      <c r="K173" s="16">
        <f t="shared" si="19"/>
        <v>0</v>
      </c>
    </row>
    <row r="174" spans="1:11" x14ac:dyDescent="0.25">
      <c r="A174" s="37">
        <v>44469</v>
      </c>
      <c r="B174" s="41"/>
      <c r="C174" s="41"/>
      <c r="D174" s="41"/>
      <c r="E174" s="41"/>
      <c r="F174" s="41"/>
      <c r="G174" s="41"/>
      <c r="H174" s="44">
        <f t="shared" si="20"/>
        <v>8262.125</v>
      </c>
      <c r="I174" s="44">
        <f t="shared" si="21"/>
        <v>1815329.375</v>
      </c>
      <c r="J174" s="49">
        <f t="shared" si="18"/>
        <v>1757501</v>
      </c>
      <c r="K174" s="16">
        <f t="shared" si="19"/>
        <v>0</v>
      </c>
    </row>
    <row r="175" spans="1:11" x14ac:dyDescent="0.25">
      <c r="A175" s="37">
        <v>44470</v>
      </c>
      <c r="B175" s="41"/>
      <c r="C175" s="41"/>
      <c r="D175" s="41"/>
      <c r="E175" s="41"/>
      <c r="F175" s="41"/>
      <c r="G175" s="41"/>
      <c r="H175" s="44">
        <f t="shared" si="20"/>
        <v>8262.125</v>
      </c>
      <c r="I175" s="44">
        <f t="shared" si="21"/>
        <v>1823591.5</v>
      </c>
      <c r="J175" s="49">
        <f t="shared" si="18"/>
        <v>1757501</v>
      </c>
      <c r="K175" s="16">
        <f t="shared" si="19"/>
        <v>0</v>
      </c>
    </row>
    <row r="176" spans="1:11" x14ac:dyDescent="0.25">
      <c r="A176" s="37">
        <v>44471</v>
      </c>
      <c r="B176" s="41"/>
      <c r="C176" s="41"/>
      <c r="D176" s="41"/>
      <c r="E176" s="41"/>
      <c r="F176" s="41"/>
      <c r="G176" s="41"/>
      <c r="H176" s="44">
        <f t="shared" si="20"/>
        <v>8262.125</v>
      </c>
      <c r="I176" s="44">
        <f t="shared" si="21"/>
        <v>1831853.625</v>
      </c>
      <c r="J176" s="49">
        <f t="shared" si="18"/>
        <v>1757501</v>
      </c>
      <c r="K176" s="16">
        <f t="shared" si="19"/>
        <v>0</v>
      </c>
    </row>
    <row r="177" spans="1:11" x14ac:dyDescent="0.25">
      <c r="A177" s="37">
        <v>44472</v>
      </c>
      <c r="B177" s="41"/>
      <c r="C177" s="41"/>
      <c r="D177" s="41"/>
      <c r="E177" s="41"/>
      <c r="F177" s="41"/>
      <c r="G177" s="41"/>
      <c r="H177" s="44">
        <f t="shared" si="20"/>
        <v>8262.125</v>
      </c>
      <c r="I177" s="44">
        <f t="shared" si="21"/>
        <v>1840115.75</v>
      </c>
      <c r="J177" s="49">
        <f t="shared" si="18"/>
        <v>1757501</v>
      </c>
      <c r="K177" s="16">
        <f t="shared" si="19"/>
        <v>0</v>
      </c>
    </row>
    <row r="178" spans="1:11" x14ac:dyDescent="0.25">
      <c r="A178" s="37">
        <v>44473</v>
      </c>
      <c r="B178" s="41"/>
      <c r="C178" s="41"/>
      <c r="D178" s="41"/>
      <c r="E178" s="41"/>
      <c r="F178" s="41"/>
      <c r="G178" s="41"/>
      <c r="H178" s="44">
        <f t="shared" si="20"/>
        <v>8262.125</v>
      </c>
      <c r="I178" s="44">
        <f t="shared" si="21"/>
        <v>1848377.875</v>
      </c>
      <c r="J178" s="49">
        <f t="shared" si="18"/>
        <v>1757501</v>
      </c>
      <c r="K178" s="16">
        <f t="shared" si="19"/>
        <v>0</v>
      </c>
    </row>
    <row r="179" spans="1:11" x14ac:dyDescent="0.25">
      <c r="A179" s="37">
        <v>44474</v>
      </c>
      <c r="B179" s="41"/>
      <c r="C179" s="41"/>
      <c r="D179" s="41"/>
      <c r="E179" s="41"/>
      <c r="F179" s="41"/>
      <c r="G179" s="41"/>
      <c r="H179" s="44">
        <f t="shared" si="20"/>
        <v>8262.125</v>
      </c>
      <c r="I179" s="44">
        <f t="shared" si="21"/>
        <v>1856640</v>
      </c>
      <c r="J179" s="49">
        <f t="shared" si="18"/>
        <v>1757501</v>
      </c>
      <c r="K179" s="16">
        <f t="shared" si="19"/>
        <v>0</v>
      </c>
    </row>
    <row r="180" spans="1:11" x14ac:dyDescent="0.25">
      <c r="A180" s="37">
        <v>44475</v>
      </c>
      <c r="B180" s="41"/>
      <c r="C180" s="41"/>
      <c r="D180" s="41"/>
      <c r="E180" s="41"/>
      <c r="F180" s="41"/>
      <c r="G180" s="41"/>
      <c r="H180" s="44">
        <f t="shared" si="20"/>
        <v>8262.125</v>
      </c>
      <c r="I180" s="44">
        <f t="shared" si="21"/>
        <v>1864902.125</v>
      </c>
      <c r="J180" s="49">
        <f t="shared" si="18"/>
        <v>1757501</v>
      </c>
      <c r="K180" s="16">
        <f t="shared" si="19"/>
        <v>0</v>
      </c>
    </row>
    <row r="181" spans="1:11" x14ac:dyDescent="0.25">
      <c r="A181" s="37">
        <v>44476</v>
      </c>
      <c r="B181" s="41"/>
      <c r="C181" s="41"/>
      <c r="D181" s="41"/>
      <c r="E181" s="41"/>
      <c r="F181" s="41"/>
      <c r="G181" s="41"/>
      <c r="H181" s="44">
        <f t="shared" si="20"/>
        <v>8262.125</v>
      </c>
      <c r="I181" s="44">
        <f t="shared" si="21"/>
        <v>1873164.25</v>
      </c>
      <c r="J181" s="49">
        <f t="shared" si="18"/>
        <v>1757501</v>
      </c>
      <c r="K181" s="16">
        <f t="shared" si="19"/>
        <v>0</v>
      </c>
    </row>
    <row r="182" spans="1:11" x14ac:dyDescent="0.25">
      <c r="A182" s="37">
        <v>44477</v>
      </c>
      <c r="B182" s="41"/>
      <c r="C182" s="41"/>
      <c r="D182" s="41"/>
      <c r="E182" s="41"/>
      <c r="F182" s="41"/>
      <c r="G182" s="41"/>
      <c r="H182" s="44">
        <f t="shared" si="20"/>
        <v>8262.125</v>
      </c>
      <c r="I182" s="44">
        <f t="shared" si="21"/>
        <v>1881426.375</v>
      </c>
      <c r="J182" s="49">
        <f t="shared" si="18"/>
        <v>1757501</v>
      </c>
      <c r="K182" s="16">
        <f t="shared" si="19"/>
        <v>0</v>
      </c>
    </row>
    <row r="183" spans="1:11" x14ac:dyDescent="0.25">
      <c r="A183" s="37">
        <v>44478</v>
      </c>
      <c r="B183" s="41"/>
      <c r="C183" s="41"/>
      <c r="D183" s="41"/>
      <c r="E183" s="41"/>
      <c r="F183" s="41"/>
      <c r="G183" s="41"/>
      <c r="H183" s="44">
        <f t="shared" si="20"/>
        <v>8262.125</v>
      </c>
      <c r="I183" s="44">
        <f t="shared" si="21"/>
        <v>1889688.5</v>
      </c>
      <c r="J183" s="49">
        <f t="shared" si="18"/>
        <v>1757501</v>
      </c>
      <c r="K183" s="16">
        <f t="shared" si="19"/>
        <v>0</v>
      </c>
    </row>
    <row r="184" spans="1:11" x14ac:dyDescent="0.25">
      <c r="A184" s="37">
        <v>44479</v>
      </c>
      <c r="B184" s="41"/>
      <c r="C184" s="41"/>
      <c r="D184" s="41"/>
      <c r="E184" s="41"/>
      <c r="F184" s="41"/>
      <c r="G184" s="41"/>
      <c r="H184" s="44">
        <f t="shared" si="20"/>
        <v>8262.125</v>
      </c>
      <c r="I184" s="44">
        <f t="shared" si="21"/>
        <v>1897950.625</v>
      </c>
      <c r="J184" s="49">
        <f t="shared" si="18"/>
        <v>1757501</v>
      </c>
      <c r="K184" s="16">
        <f t="shared" si="19"/>
        <v>0</v>
      </c>
    </row>
    <row r="185" spans="1:11" x14ac:dyDescent="0.25">
      <c r="A185" s="37">
        <v>44480</v>
      </c>
      <c r="B185" s="41"/>
      <c r="C185" s="41"/>
      <c r="D185" s="41"/>
      <c r="E185" s="41"/>
      <c r="F185" s="41"/>
      <c r="G185" s="41"/>
      <c r="H185" s="44">
        <f t="shared" si="20"/>
        <v>8262.125</v>
      </c>
      <c r="I185" s="44">
        <f t="shared" si="21"/>
        <v>1906212.75</v>
      </c>
      <c r="J185" s="49">
        <f t="shared" si="18"/>
        <v>1757501</v>
      </c>
      <c r="K185" s="16">
        <f t="shared" si="19"/>
        <v>0</v>
      </c>
    </row>
    <row r="186" spans="1:11" x14ac:dyDescent="0.25">
      <c r="A186" s="37">
        <v>44481</v>
      </c>
      <c r="B186" s="41"/>
      <c r="C186" s="41"/>
      <c r="D186" s="41"/>
      <c r="E186" s="41"/>
      <c r="F186" s="41"/>
      <c r="G186" s="41"/>
      <c r="H186" s="44">
        <f t="shared" si="20"/>
        <v>8262.125</v>
      </c>
      <c r="I186" s="44">
        <f t="shared" si="21"/>
        <v>1914474.875</v>
      </c>
      <c r="J186" s="49">
        <f t="shared" si="18"/>
        <v>1757501</v>
      </c>
      <c r="K186" s="16">
        <f t="shared" si="19"/>
        <v>0</v>
      </c>
    </row>
    <row r="187" spans="1:11" x14ac:dyDescent="0.25">
      <c r="A187" s="37">
        <v>44482</v>
      </c>
      <c r="B187" s="41"/>
      <c r="C187" s="41"/>
      <c r="D187" s="41"/>
      <c r="E187" s="41"/>
      <c r="F187" s="41"/>
      <c r="G187" s="41"/>
      <c r="H187" s="44">
        <f t="shared" si="20"/>
        <v>8262.125</v>
      </c>
      <c r="I187" s="44">
        <f t="shared" si="21"/>
        <v>1922737</v>
      </c>
      <c r="J187" s="49">
        <f t="shared" si="18"/>
        <v>1757501</v>
      </c>
      <c r="K187" s="16">
        <f t="shared" si="19"/>
        <v>0</v>
      </c>
    </row>
    <row r="188" spans="1:11" x14ac:dyDescent="0.25">
      <c r="A188" s="37">
        <v>44483</v>
      </c>
      <c r="B188" s="41"/>
      <c r="C188" s="41"/>
      <c r="D188" s="41"/>
      <c r="E188" s="41"/>
      <c r="F188" s="41"/>
      <c r="G188" s="41"/>
      <c r="H188" s="44">
        <f t="shared" si="20"/>
        <v>8262.125</v>
      </c>
      <c r="I188" s="44">
        <f t="shared" si="21"/>
        <v>1930999.125</v>
      </c>
      <c r="J188" s="49">
        <f t="shared" si="18"/>
        <v>1757501</v>
      </c>
      <c r="K188" s="16">
        <f t="shared" si="19"/>
        <v>0</v>
      </c>
    </row>
    <row r="189" spans="1:11" x14ac:dyDescent="0.25">
      <c r="A189" s="37">
        <v>44484</v>
      </c>
      <c r="B189" s="41"/>
      <c r="C189" s="41"/>
      <c r="D189" s="41"/>
      <c r="E189" s="41"/>
      <c r="F189" s="41"/>
      <c r="G189" s="41"/>
      <c r="H189" s="44">
        <f t="shared" si="20"/>
        <v>8262.125</v>
      </c>
      <c r="I189" s="44">
        <f t="shared" si="21"/>
        <v>1939261.25</v>
      </c>
      <c r="J189" s="49">
        <f t="shared" si="18"/>
        <v>1757501</v>
      </c>
      <c r="K189" s="16">
        <f t="shared" si="19"/>
        <v>0</v>
      </c>
    </row>
    <row r="190" spans="1:11" x14ac:dyDescent="0.25">
      <c r="A190" s="37">
        <v>44485</v>
      </c>
      <c r="B190" s="41"/>
      <c r="C190" s="41"/>
      <c r="D190" s="41"/>
      <c r="E190" s="41"/>
      <c r="F190" s="41"/>
      <c r="G190" s="41"/>
      <c r="H190" s="44">
        <f t="shared" si="20"/>
        <v>8262.125</v>
      </c>
      <c r="I190" s="44">
        <f t="shared" si="21"/>
        <v>1947523.375</v>
      </c>
      <c r="J190" s="49">
        <f t="shared" si="18"/>
        <v>1757501</v>
      </c>
      <c r="K190" s="16">
        <f t="shared" si="19"/>
        <v>0</v>
      </c>
    </row>
    <row r="191" spans="1:11" x14ac:dyDescent="0.25">
      <c r="A191" s="37">
        <v>44486</v>
      </c>
      <c r="B191" s="41"/>
      <c r="C191" s="41"/>
      <c r="D191" s="41"/>
      <c r="E191" s="41"/>
      <c r="F191" s="41"/>
      <c r="G191" s="41"/>
      <c r="H191" s="44">
        <f t="shared" si="20"/>
        <v>8262.125</v>
      </c>
      <c r="I191" s="44">
        <f t="shared" si="21"/>
        <v>1955785.5</v>
      </c>
      <c r="J191" s="49">
        <f t="shared" si="18"/>
        <v>1757501</v>
      </c>
      <c r="K191" s="16">
        <f t="shared" si="19"/>
        <v>0</v>
      </c>
    </row>
    <row r="192" spans="1:11" x14ac:dyDescent="0.25">
      <c r="A192" s="37">
        <v>44487</v>
      </c>
      <c r="B192" s="41"/>
      <c r="C192" s="41"/>
      <c r="D192" s="41"/>
      <c r="E192" s="41"/>
      <c r="F192" s="41"/>
      <c r="G192" s="41"/>
      <c r="H192" s="44">
        <f t="shared" si="20"/>
        <v>8262.125</v>
      </c>
      <c r="I192" s="44">
        <f t="shared" si="21"/>
        <v>1964047.625</v>
      </c>
      <c r="J192" s="49">
        <f t="shared" si="18"/>
        <v>1757501</v>
      </c>
      <c r="K192" s="16">
        <f t="shared" si="19"/>
        <v>0</v>
      </c>
    </row>
    <row r="193" spans="1:11" x14ac:dyDescent="0.25">
      <c r="A193" s="37">
        <v>44488</v>
      </c>
      <c r="B193" s="41"/>
      <c r="C193" s="41"/>
      <c r="D193" s="41"/>
      <c r="E193" s="41"/>
      <c r="F193" s="41"/>
      <c r="G193" s="41"/>
      <c r="H193" s="44">
        <f t="shared" si="20"/>
        <v>8262.125</v>
      </c>
      <c r="I193" s="44">
        <f t="shared" si="21"/>
        <v>1972309.75</v>
      </c>
      <c r="J193" s="49">
        <f t="shared" si="18"/>
        <v>1757501</v>
      </c>
      <c r="K193" s="16">
        <f t="shared" si="19"/>
        <v>0</v>
      </c>
    </row>
    <row r="194" spans="1:11" x14ac:dyDescent="0.25">
      <c r="A194" s="37">
        <v>44489</v>
      </c>
      <c r="B194" s="41"/>
      <c r="C194" s="41"/>
      <c r="D194" s="41"/>
      <c r="E194" s="41"/>
      <c r="F194" s="41"/>
      <c r="G194" s="41"/>
      <c r="H194" s="44">
        <f t="shared" si="20"/>
        <v>8262.125</v>
      </c>
      <c r="I194" s="44">
        <f t="shared" si="21"/>
        <v>1980571.875</v>
      </c>
      <c r="J194" s="49">
        <f t="shared" si="18"/>
        <v>1757501</v>
      </c>
      <c r="K194" s="16">
        <f t="shared" si="19"/>
        <v>0</v>
      </c>
    </row>
    <row r="195" spans="1:11" x14ac:dyDescent="0.25">
      <c r="A195" s="37">
        <v>44490</v>
      </c>
      <c r="B195" s="41"/>
      <c r="C195" s="41"/>
      <c r="D195" s="41"/>
      <c r="E195" s="41"/>
      <c r="F195" s="41"/>
      <c r="G195" s="41"/>
      <c r="H195" s="44">
        <f t="shared" si="20"/>
        <v>8262.125</v>
      </c>
      <c r="I195" s="44">
        <f t="shared" si="21"/>
        <v>1988834</v>
      </c>
      <c r="J195" s="49">
        <f t="shared" si="18"/>
        <v>1757501</v>
      </c>
      <c r="K195" s="16">
        <f t="shared" si="19"/>
        <v>0</v>
      </c>
    </row>
    <row r="196" spans="1:11" x14ac:dyDescent="0.25">
      <c r="A196" s="37">
        <v>44491</v>
      </c>
      <c r="B196" s="41"/>
      <c r="C196" s="41"/>
      <c r="D196" s="41"/>
      <c r="E196" s="41"/>
      <c r="F196" s="41"/>
      <c r="G196" s="41"/>
      <c r="H196" s="44">
        <f t="shared" si="20"/>
        <v>8262.125</v>
      </c>
      <c r="I196" s="44">
        <f t="shared" si="21"/>
        <v>1997096.125</v>
      </c>
      <c r="J196" s="49">
        <f t="shared" si="18"/>
        <v>1757501</v>
      </c>
      <c r="K196" s="16">
        <f t="shared" si="19"/>
        <v>0</v>
      </c>
    </row>
    <row r="197" spans="1:11" x14ac:dyDescent="0.25">
      <c r="A197" s="37">
        <v>44492</v>
      </c>
      <c r="B197" s="41"/>
      <c r="C197" s="41"/>
      <c r="D197" s="41"/>
      <c r="E197" s="41"/>
      <c r="F197" s="41"/>
      <c r="G197" s="41"/>
      <c r="H197" s="44">
        <f t="shared" si="20"/>
        <v>8262.125</v>
      </c>
      <c r="I197" s="44">
        <f t="shared" si="21"/>
        <v>2005358.25</v>
      </c>
      <c r="J197" s="49">
        <f t="shared" si="18"/>
        <v>1757501</v>
      </c>
      <c r="K197" s="16">
        <f t="shared" si="19"/>
        <v>0</v>
      </c>
    </row>
    <row r="198" spans="1:11" x14ac:dyDescent="0.25">
      <c r="A198" s="37">
        <v>44493</v>
      </c>
      <c r="B198" s="41"/>
      <c r="C198" s="41"/>
      <c r="D198" s="41"/>
      <c r="E198" s="41"/>
      <c r="F198" s="41"/>
      <c r="G198" s="41"/>
      <c r="H198" s="44">
        <f t="shared" si="20"/>
        <v>8262.125</v>
      </c>
      <c r="I198" s="44">
        <f t="shared" si="21"/>
        <v>2013620.375</v>
      </c>
      <c r="J198" s="49">
        <f t="shared" ref="J198:J266" si="22">HIT_Target</f>
        <v>1757501</v>
      </c>
      <c r="K198" s="16">
        <f t="shared" si="19"/>
        <v>0</v>
      </c>
    </row>
    <row r="199" spans="1:11" x14ac:dyDescent="0.25">
      <c r="A199" s="37">
        <v>44494</v>
      </c>
      <c r="B199" s="41"/>
      <c r="C199" s="41"/>
      <c r="D199" s="41"/>
      <c r="E199" s="41"/>
      <c r="F199" s="41"/>
      <c r="G199" s="41"/>
      <c r="H199" s="44">
        <f t="shared" si="20"/>
        <v>8262.125</v>
      </c>
      <c r="I199" s="44">
        <f t="shared" si="21"/>
        <v>2021882.5</v>
      </c>
      <c r="J199" s="49">
        <f t="shared" si="22"/>
        <v>1757501</v>
      </c>
      <c r="K199" s="16">
        <f t="shared" ref="K199:K262" si="23">IF(I199&gt;J199,0,1)</f>
        <v>0</v>
      </c>
    </row>
    <row r="200" spans="1:11" x14ac:dyDescent="0.25">
      <c r="A200" s="37">
        <v>44495</v>
      </c>
      <c r="B200" s="41"/>
      <c r="C200" s="41"/>
      <c r="D200" s="41"/>
      <c r="E200" s="41"/>
      <c r="F200" s="41"/>
      <c r="G200" s="41"/>
      <c r="H200" s="44">
        <f t="shared" si="20"/>
        <v>8262.125</v>
      </c>
      <c r="I200" s="44">
        <f t="shared" si="21"/>
        <v>2030144.625</v>
      </c>
      <c r="J200" s="49">
        <f t="shared" si="22"/>
        <v>1757501</v>
      </c>
      <c r="K200" s="16">
        <f t="shared" si="23"/>
        <v>0</v>
      </c>
    </row>
    <row r="201" spans="1:11" x14ac:dyDescent="0.25">
      <c r="A201" s="37">
        <v>44496</v>
      </c>
      <c r="B201" s="41"/>
      <c r="C201" s="41"/>
      <c r="D201" s="41"/>
      <c r="E201" s="41"/>
      <c r="F201" s="41"/>
      <c r="G201" s="41"/>
      <c r="H201" s="44">
        <f t="shared" si="20"/>
        <v>8262.125</v>
      </c>
      <c r="I201" s="44">
        <f t="shared" si="21"/>
        <v>2038406.75</v>
      </c>
      <c r="J201" s="49">
        <f t="shared" si="22"/>
        <v>1757501</v>
      </c>
      <c r="K201" s="16">
        <f t="shared" si="23"/>
        <v>0</v>
      </c>
    </row>
    <row r="202" spans="1:11" x14ac:dyDescent="0.25">
      <c r="A202" s="37">
        <v>44497</v>
      </c>
      <c r="B202" s="41"/>
      <c r="C202" s="41"/>
      <c r="D202" s="41"/>
      <c r="E202" s="41"/>
      <c r="F202" s="41"/>
      <c r="G202" s="41"/>
      <c r="H202" s="44">
        <f t="shared" si="20"/>
        <v>8262.125</v>
      </c>
      <c r="I202" s="44">
        <f t="shared" si="21"/>
        <v>2046668.875</v>
      </c>
      <c r="J202" s="49">
        <f t="shared" si="22"/>
        <v>1757501</v>
      </c>
      <c r="K202" s="16">
        <f t="shared" si="23"/>
        <v>0</v>
      </c>
    </row>
    <row r="203" spans="1:11" x14ac:dyDescent="0.25">
      <c r="A203" s="37">
        <v>44498</v>
      </c>
      <c r="B203" s="41"/>
      <c r="C203" s="41"/>
      <c r="D203" s="41"/>
      <c r="E203" s="41"/>
      <c r="F203" s="41"/>
      <c r="G203" s="41"/>
      <c r="H203" s="44">
        <f t="shared" si="20"/>
        <v>8262.125</v>
      </c>
      <c r="I203" s="44">
        <f t="shared" si="21"/>
        <v>2054931</v>
      </c>
      <c r="J203" s="49">
        <f t="shared" si="22"/>
        <v>1757501</v>
      </c>
      <c r="K203" s="16">
        <f t="shared" si="23"/>
        <v>0</v>
      </c>
    </row>
    <row r="204" spans="1:11" x14ac:dyDescent="0.25">
      <c r="A204" s="37">
        <v>44499</v>
      </c>
      <c r="B204" s="41"/>
      <c r="C204" s="41"/>
      <c r="D204" s="41"/>
      <c r="E204" s="41"/>
      <c r="F204" s="41"/>
      <c r="G204" s="41"/>
      <c r="H204" s="44">
        <f t="shared" si="20"/>
        <v>8262.125</v>
      </c>
      <c r="I204" s="44">
        <f t="shared" si="21"/>
        <v>2063193.125</v>
      </c>
      <c r="J204" s="49">
        <f t="shared" si="22"/>
        <v>1757501</v>
      </c>
      <c r="K204" s="16">
        <f t="shared" si="23"/>
        <v>0</v>
      </c>
    </row>
    <row r="205" spans="1:11" x14ac:dyDescent="0.25">
      <c r="A205" s="37">
        <v>44500</v>
      </c>
      <c r="B205" s="41"/>
      <c r="C205" s="41"/>
      <c r="D205" s="41"/>
      <c r="E205" s="41"/>
      <c r="F205" s="41"/>
      <c r="G205" s="41"/>
      <c r="H205" s="44">
        <f t="shared" si="20"/>
        <v>8262.125</v>
      </c>
      <c r="I205" s="44">
        <f t="shared" si="21"/>
        <v>2071455.25</v>
      </c>
      <c r="J205" s="49">
        <f t="shared" si="22"/>
        <v>1757501</v>
      </c>
      <c r="K205" s="16">
        <f t="shared" si="23"/>
        <v>0</v>
      </c>
    </row>
    <row r="206" spans="1:11" x14ac:dyDescent="0.25">
      <c r="A206" s="37">
        <v>44501</v>
      </c>
      <c r="B206" s="41"/>
      <c r="C206" s="41"/>
      <c r="D206" s="41"/>
      <c r="E206" s="41"/>
      <c r="F206" s="41"/>
      <c r="G206" s="41"/>
      <c r="H206" s="44">
        <f t="shared" si="20"/>
        <v>8262.125</v>
      </c>
      <c r="I206" s="44">
        <f t="shared" si="21"/>
        <v>2079717.375</v>
      </c>
      <c r="J206" s="49">
        <f t="shared" si="22"/>
        <v>1757501</v>
      </c>
      <c r="K206" s="16">
        <f t="shared" si="23"/>
        <v>0</v>
      </c>
    </row>
    <row r="207" spans="1:11" x14ac:dyDescent="0.25">
      <c r="A207" s="37">
        <v>44502</v>
      </c>
      <c r="B207" s="41"/>
      <c r="C207" s="41"/>
      <c r="D207" s="41"/>
      <c r="E207" s="41"/>
      <c r="F207" s="41"/>
      <c r="G207" s="41"/>
      <c r="H207" s="44">
        <f t="shared" si="20"/>
        <v>8262.125</v>
      </c>
      <c r="I207" s="44">
        <f t="shared" si="21"/>
        <v>2087979.5</v>
      </c>
      <c r="J207" s="49">
        <f t="shared" si="22"/>
        <v>1757501</v>
      </c>
      <c r="K207" s="16">
        <f t="shared" si="23"/>
        <v>0</v>
      </c>
    </row>
    <row r="208" spans="1:11" x14ac:dyDescent="0.25">
      <c r="A208" s="37">
        <v>44503</v>
      </c>
      <c r="B208" s="41"/>
      <c r="C208" s="41"/>
      <c r="D208" s="41"/>
      <c r="E208" s="41"/>
      <c r="F208" s="41"/>
      <c r="G208" s="41"/>
      <c r="H208" s="44">
        <f t="shared" si="20"/>
        <v>8262.125</v>
      </c>
      <c r="I208" s="44">
        <f t="shared" si="21"/>
        <v>2096241.625</v>
      </c>
      <c r="J208" s="49">
        <f t="shared" si="22"/>
        <v>1757501</v>
      </c>
      <c r="K208" s="16">
        <f t="shared" si="23"/>
        <v>0</v>
      </c>
    </row>
    <row r="209" spans="1:11" x14ac:dyDescent="0.25">
      <c r="A209" s="37">
        <v>44504</v>
      </c>
      <c r="B209" s="41"/>
      <c r="C209" s="41"/>
      <c r="D209" s="41"/>
      <c r="E209" s="41"/>
      <c r="F209" s="41"/>
      <c r="G209" s="41"/>
      <c r="H209" s="44">
        <f t="shared" ref="H209:H266" si="24">IF(F209=0,H208,AVERAGE(F202:F209))</f>
        <v>8262.125</v>
      </c>
      <c r="I209" s="44">
        <f t="shared" ref="I209:I266" si="25">I208+H208</f>
        <v>2104503.75</v>
      </c>
      <c r="J209" s="49">
        <f t="shared" si="22"/>
        <v>1757501</v>
      </c>
      <c r="K209" s="16">
        <f t="shared" si="23"/>
        <v>0</v>
      </c>
    </row>
    <row r="210" spans="1:11" x14ac:dyDescent="0.25">
      <c r="A210" s="37">
        <v>44505</v>
      </c>
      <c r="B210" s="41"/>
      <c r="C210" s="41"/>
      <c r="D210" s="41"/>
      <c r="E210" s="41"/>
      <c r="F210" s="41"/>
      <c r="G210" s="41"/>
      <c r="H210" s="44">
        <f t="shared" si="24"/>
        <v>8262.125</v>
      </c>
      <c r="I210" s="44">
        <f t="shared" si="25"/>
        <v>2112765.875</v>
      </c>
      <c r="J210" s="49">
        <f t="shared" si="22"/>
        <v>1757501</v>
      </c>
      <c r="K210" s="16">
        <f t="shared" si="23"/>
        <v>0</v>
      </c>
    </row>
    <row r="211" spans="1:11" x14ac:dyDescent="0.25">
      <c r="A211" s="37">
        <v>44506</v>
      </c>
      <c r="B211" s="41"/>
      <c r="C211" s="41"/>
      <c r="D211" s="41"/>
      <c r="E211" s="41"/>
      <c r="F211" s="41"/>
      <c r="G211" s="41"/>
      <c r="H211" s="44">
        <f t="shared" si="24"/>
        <v>8262.125</v>
      </c>
      <c r="I211" s="44">
        <f t="shared" si="25"/>
        <v>2121028</v>
      </c>
      <c r="J211" s="49">
        <f t="shared" si="22"/>
        <v>1757501</v>
      </c>
      <c r="K211" s="16">
        <f t="shared" si="23"/>
        <v>0</v>
      </c>
    </row>
    <row r="212" spans="1:11" x14ac:dyDescent="0.25">
      <c r="A212" s="37">
        <v>44507</v>
      </c>
      <c r="B212" s="41"/>
      <c r="C212" s="41"/>
      <c r="D212" s="41"/>
      <c r="E212" s="41"/>
      <c r="F212" s="41"/>
      <c r="G212" s="41"/>
      <c r="H212" s="44">
        <f t="shared" si="24"/>
        <v>8262.125</v>
      </c>
      <c r="I212" s="44">
        <f t="shared" si="25"/>
        <v>2129290.125</v>
      </c>
      <c r="J212" s="49">
        <f t="shared" si="22"/>
        <v>1757501</v>
      </c>
      <c r="K212" s="16">
        <f t="shared" si="23"/>
        <v>0</v>
      </c>
    </row>
    <row r="213" spans="1:11" x14ac:dyDescent="0.25">
      <c r="A213" s="37">
        <v>44508</v>
      </c>
      <c r="B213" s="41"/>
      <c r="C213" s="41"/>
      <c r="D213" s="41"/>
      <c r="E213" s="41"/>
      <c r="F213" s="41"/>
      <c r="G213" s="41"/>
      <c r="H213" s="44">
        <f t="shared" si="24"/>
        <v>8262.125</v>
      </c>
      <c r="I213" s="44">
        <f t="shared" si="25"/>
        <v>2137552.25</v>
      </c>
      <c r="J213" s="49">
        <f t="shared" si="22"/>
        <v>1757501</v>
      </c>
      <c r="K213" s="16">
        <f t="shared" si="23"/>
        <v>0</v>
      </c>
    </row>
    <row r="214" spans="1:11" x14ac:dyDescent="0.25">
      <c r="A214" s="37">
        <v>44509</v>
      </c>
      <c r="B214" s="41"/>
      <c r="C214" s="41"/>
      <c r="D214" s="41"/>
      <c r="E214" s="41"/>
      <c r="F214" s="41"/>
      <c r="G214" s="41"/>
      <c r="H214" s="44">
        <f t="shared" si="24"/>
        <v>8262.125</v>
      </c>
      <c r="I214" s="44">
        <f t="shared" si="25"/>
        <v>2145814.375</v>
      </c>
      <c r="J214" s="49">
        <f t="shared" si="22"/>
        <v>1757501</v>
      </c>
      <c r="K214" s="16">
        <f t="shared" si="23"/>
        <v>0</v>
      </c>
    </row>
    <row r="215" spans="1:11" x14ac:dyDescent="0.25">
      <c r="A215" s="37">
        <v>44510</v>
      </c>
      <c r="B215" s="41"/>
      <c r="C215" s="41"/>
      <c r="D215" s="41"/>
      <c r="E215" s="41"/>
      <c r="F215" s="41"/>
      <c r="G215" s="41"/>
      <c r="H215" s="44">
        <f t="shared" si="24"/>
        <v>8262.125</v>
      </c>
      <c r="I215" s="44">
        <f t="shared" si="25"/>
        <v>2154076.5</v>
      </c>
      <c r="J215" s="49">
        <f t="shared" si="22"/>
        <v>1757501</v>
      </c>
      <c r="K215" s="16">
        <f t="shared" si="23"/>
        <v>0</v>
      </c>
    </row>
    <row r="216" spans="1:11" x14ac:dyDescent="0.25">
      <c r="A216" s="37">
        <v>44511</v>
      </c>
      <c r="B216" s="41"/>
      <c r="C216" s="41"/>
      <c r="D216" s="41"/>
      <c r="E216" s="41"/>
      <c r="F216" s="41"/>
      <c r="G216" s="41"/>
      <c r="H216" s="44">
        <f t="shared" si="24"/>
        <v>8262.125</v>
      </c>
      <c r="I216" s="44">
        <f t="shared" si="25"/>
        <v>2162338.625</v>
      </c>
      <c r="J216" s="49">
        <f t="shared" si="22"/>
        <v>1757501</v>
      </c>
      <c r="K216" s="16">
        <f t="shared" si="23"/>
        <v>0</v>
      </c>
    </row>
    <row r="217" spans="1:11" x14ac:dyDescent="0.25">
      <c r="A217" s="37">
        <v>44512</v>
      </c>
      <c r="B217" s="41"/>
      <c r="C217" s="41"/>
      <c r="D217" s="41"/>
      <c r="E217" s="41"/>
      <c r="F217" s="41"/>
      <c r="G217" s="41"/>
      <c r="H217" s="44">
        <f t="shared" si="24"/>
        <v>8262.125</v>
      </c>
      <c r="I217" s="44">
        <f t="shared" si="25"/>
        <v>2170600.75</v>
      </c>
      <c r="J217" s="49">
        <f t="shared" si="22"/>
        <v>1757501</v>
      </c>
      <c r="K217" s="16">
        <f t="shared" si="23"/>
        <v>0</v>
      </c>
    </row>
    <row r="218" spans="1:11" x14ac:dyDescent="0.25">
      <c r="A218" s="37">
        <v>44513</v>
      </c>
      <c r="B218" s="41"/>
      <c r="C218" s="41"/>
      <c r="D218" s="41"/>
      <c r="E218" s="41"/>
      <c r="F218" s="41"/>
      <c r="G218" s="41"/>
      <c r="H218" s="44">
        <f t="shared" si="24"/>
        <v>8262.125</v>
      </c>
      <c r="I218" s="44">
        <f t="shared" si="25"/>
        <v>2178862.875</v>
      </c>
      <c r="J218" s="49">
        <f t="shared" si="22"/>
        <v>1757501</v>
      </c>
      <c r="K218" s="16">
        <f t="shared" si="23"/>
        <v>0</v>
      </c>
    </row>
    <row r="219" spans="1:11" x14ac:dyDescent="0.25">
      <c r="A219" s="37">
        <v>44514</v>
      </c>
      <c r="B219" s="41"/>
      <c r="C219" s="41"/>
      <c r="D219" s="41"/>
      <c r="E219" s="41"/>
      <c r="F219" s="41"/>
      <c r="G219" s="41"/>
      <c r="H219" s="44">
        <f t="shared" si="24"/>
        <v>8262.125</v>
      </c>
      <c r="I219" s="44">
        <f t="shared" si="25"/>
        <v>2187125</v>
      </c>
      <c r="J219" s="49">
        <f t="shared" si="22"/>
        <v>1757501</v>
      </c>
      <c r="K219" s="16">
        <f t="shared" si="23"/>
        <v>0</v>
      </c>
    </row>
    <row r="220" spans="1:11" x14ac:dyDescent="0.25">
      <c r="A220" s="37">
        <v>44515</v>
      </c>
      <c r="B220" s="41"/>
      <c r="C220" s="41"/>
      <c r="D220" s="41"/>
      <c r="E220" s="41"/>
      <c r="F220" s="41"/>
      <c r="G220" s="41"/>
      <c r="H220" s="44">
        <f t="shared" si="24"/>
        <v>8262.125</v>
      </c>
      <c r="I220" s="44">
        <f t="shared" si="25"/>
        <v>2195387.125</v>
      </c>
      <c r="J220" s="49">
        <f t="shared" si="22"/>
        <v>1757501</v>
      </c>
      <c r="K220" s="16">
        <f t="shared" si="23"/>
        <v>0</v>
      </c>
    </row>
    <row r="221" spans="1:11" x14ac:dyDescent="0.25">
      <c r="A221" s="37">
        <v>44516</v>
      </c>
      <c r="B221" s="41"/>
      <c r="C221" s="41"/>
      <c r="D221" s="41"/>
      <c r="E221" s="41"/>
      <c r="F221" s="41"/>
      <c r="G221" s="41"/>
      <c r="H221" s="44">
        <f t="shared" si="24"/>
        <v>8262.125</v>
      </c>
      <c r="I221" s="44">
        <f t="shared" si="25"/>
        <v>2203649.25</v>
      </c>
      <c r="J221" s="49">
        <f t="shared" si="22"/>
        <v>1757501</v>
      </c>
      <c r="K221" s="16">
        <f t="shared" si="23"/>
        <v>0</v>
      </c>
    </row>
    <row r="222" spans="1:11" x14ac:dyDescent="0.25">
      <c r="A222" s="37">
        <v>44517</v>
      </c>
      <c r="B222" s="41"/>
      <c r="C222" s="41"/>
      <c r="D222" s="41"/>
      <c r="E222" s="41"/>
      <c r="F222" s="41"/>
      <c r="G222" s="41"/>
      <c r="H222" s="44">
        <f t="shared" si="24"/>
        <v>8262.125</v>
      </c>
      <c r="I222" s="44">
        <f t="shared" si="25"/>
        <v>2211911.375</v>
      </c>
      <c r="J222" s="49">
        <f t="shared" si="22"/>
        <v>1757501</v>
      </c>
      <c r="K222" s="16">
        <f t="shared" si="23"/>
        <v>0</v>
      </c>
    </row>
    <row r="223" spans="1:11" x14ac:dyDescent="0.25">
      <c r="A223" s="37">
        <v>44518</v>
      </c>
      <c r="B223" s="41"/>
      <c r="C223" s="41"/>
      <c r="D223" s="41"/>
      <c r="E223" s="41"/>
      <c r="F223" s="41"/>
      <c r="G223" s="41"/>
      <c r="H223" s="44">
        <f t="shared" si="24"/>
        <v>8262.125</v>
      </c>
      <c r="I223" s="44">
        <f t="shared" si="25"/>
        <v>2220173.5</v>
      </c>
      <c r="J223" s="49">
        <f t="shared" si="22"/>
        <v>1757501</v>
      </c>
      <c r="K223" s="16">
        <f t="shared" si="23"/>
        <v>0</v>
      </c>
    </row>
    <row r="224" spans="1:11" x14ac:dyDescent="0.25">
      <c r="A224" s="37">
        <v>44519</v>
      </c>
      <c r="B224" s="41"/>
      <c r="C224" s="41"/>
      <c r="D224" s="41"/>
      <c r="E224" s="41"/>
      <c r="F224" s="41"/>
      <c r="G224" s="41"/>
      <c r="H224" s="44">
        <f t="shared" si="24"/>
        <v>8262.125</v>
      </c>
      <c r="I224" s="44">
        <f t="shared" si="25"/>
        <v>2228435.625</v>
      </c>
      <c r="J224" s="49">
        <f t="shared" si="22"/>
        <v>1757501</v>
      </c>
      <c r="K224" s="16">
        <f t="shared" si="23"/>
        <v>0</v>
      </c>
    </row>
    <row r="225" spans="1:11" x14ac:dyDescent="0.25">
      <c r="A225" s="37">
        <v>44520</v>
      </c>
      <c r="B225" s="41"/>
      <c r="C225" s="41"/>
      <c r="D225" s="41"/>
      <c r="E225" s="41"/>
      <c r="F225" s="41"/>
      <c r="G225" s="41"/>
      <c r="H225" s="44">
        <f t="shared" si="24"/>
        <v>8262.125</v>
      </c>
      <c r="I225" s="44">
        <f t="shared" si="25"/>
        <v>2236697.75</v>
      </c>
      <c r="J225" s="49">
        <f t="shared" si="22"/>
        <v>1757501</v>
      </c>
      <c r="K225" s="16">
        <f t="shared" si="23"/>
        <v>0</v>
      </c>
    </row>
    <row r="226" spans="1:11" x14ac:dyDescent="0.25">
      <c r="A226" s="37">
        <v>44521</v>
      </c>
      <c r="B226" s="41"/>
      <c r="C226" s="41"/>
      <c r="D226" s="41"/>
      <c r="E226" s="41"/>
      <c r="F226" s="41"/>
      <c r="G226" s="41"/>
      <c r="H226" s="44">
        <f t="shared" si="24"/>
        <v>8262.125</v>
      </c>
      <c r="I226" s="44">
        <f t="shared" si="25"/>
        <v>2244959.875</v>
      </c>
      <c r="J226" s="49">
        <f t="shared" si="22"/>
        <v>1757501</v>
      </c>
      <c r="K226" s="16">
        <f t="shared" si="23"/>
        <v>0</v>
      </c>
    </row>
    <row r="227" spans="1:11" x14ac:dyDescent="0.25">
      <c r="A227" s="37">
        <v>44522</v>
      </c>
      <c r="B227" s="41"/>
      <c r="C227" s="41"/>
      <c r="D227" s="41"/>
      <c r="E227" s="41"/>
      <c r="F227" s="41"/>
      <c r="G227" s="41"/>
      <c r="H227" s="44">
        <f t="shared" si="24"/>
        <v>8262.125</v>
      </c>
      <c r="I227" s="44">
        <f t="shared" si="25"/>
        <v>2253222</v>
      </c>
      <c r="J227" s="49">
        <f t="shared" si="22"/>
        <v>1757501</v>
      </c>
      <c r="K227" s="16">
        <f t="shared" si="23"/>
        <v>0</v>
      </c>
    </row>
    <row r="228" spans="1:11" x14ac:dyDescent="0.25">
      <c r="A228" s="37">
        <v>44523</v>
      </c>
      <c r="B228" s="41"/>
      <c r="C228" s="41"/>
      <c r="D228" s="41"/>
      <c r="E228" s="41"/>
      <c r="F228" s="41"/>
      <c r="G228" s="41"/>
      <c r="H228" s="44">
        <f t="shared" si="24"/>
        <v>8262.125</v>
      </c>
      <c r="I228" s="44">
        <f t="shared" si="25"/>
        <v>2261484.125</v>
      </c>
      <c r="J228" s="49">
        <f t="shared" si="22"/>
        <v>1757501</v>
      </c>
      <c r="K228" s="16">
        <f t="shared" si="23"/>
        <v>0</v>
      </c>
    </row>
    <row r="229" spans="1:11" x14ac:dyDescent="0.25">
      <c r="A229" s="37">
        <v>44524</v>
      </c>
      <c r="B229" s="41"/>
      <c r="C229" s="41"/>
      <c r="D229" s="41"/>
      <c r="E229" s="41"/>
      <c r="F229" s="41"/>
      <c r="G229" s="41"/>
      <c r="H229" s="44">
        <f t="shared" si="24"/>
        <v>8262.125</v>
      </c>
      <c r="I229" s="44">
        <f t="shared" si="25"/>
        <v>2269746.25</v>
      </c>
      <c r="J229" s="49">
        <f t="shared" si="22"/>
        <v>1757501</v>
      </c>
      <c r="K229" s="16">
        <f t="shared" si="23"/>
        <v>0</v>
      </c>
    </row>
    <row r="230" spans="1:11" x14ac:dyDescent="0.25">
      <c r="A230" s="37">
        <v>44525</v>
      </c>
      <c r="B230" s="41"/>
      <c r="C230" s="41"/>
      <c r="D230" s="41"/>
      <c r="E230" s="41"/>
      <c r="F230" s="41"/>
      <c r="G230" s="41"/>
      <c r="H230" s="44">
        <f t="shared" si="24"/>
        <v>8262.125</v>
      </c>
      <c r="I230" s="44">
        <f t="shared" si="25"/>
        <v>2278008.375</v>
      </c>
      <c r="J230" s="49">
        <f t="shared" si="22"/>
        <v>1757501</v>
      </c>
      <c r="K230" s="16">
        <f t="shared" si="23"/>
        <v>0</v>
      </c>
    </row>
    <row r="231" spans="1:11" x14ac:dyDescent="0.25">
      <c r="A231" s="37">
        <v>44526</v>
      </c>
      <c r="B231" s="41"/>
      <c r="C231" s="41"/>
      <c r="D231" s="41"/>
      <c r="E231" s="41"/>
      <c r="F231" s="41"/>
      <c r="G231" s="41"/>
      <c r="H231" s="44">
        <f t="shared" si="24"/>
        <v>8262.125</v>
      </c>
      <c r="I231" s="44">
        <f t="shared" si="25"/>
        <v>2286270.5</v>
      </c>
      <c r="J231" s="49">
        <f t="shared" si="22"/>
        <v>1757501</v>
      </c>
      <c r="K231" s="16">
        <f t="shared" si="23"/>
        <v>0</v>
      </c>
    </row>
    <row r="232" spans="1:11" x14ac:dyDescent="0.25">
      <c r="A232" s="37">
        <v>44527</v>
      </c>
      <c r="B232" s="41"/>
      <c r="C232" s="41"/>
      <c r="D232" s="41"/>
      <c r="E232" s="41"/>
      <c r="F232" s="41"/>
      <c r="G232" s="41"/>
      <c r="H232" s="44">
        <f t="shared" si="24"/>
        <v>8262.125</v>
      </c>
      <c r="I232" s="44">
        <f t="shared" si="25"/>
        <v>2294532.625</v>
      </c>
      <c r="J232" s="49">
        <f t="shared" si="22"/>
        <v>1757501</v>
      </c>
      <c r="K232" s="16">
        <f t="shared" si="23"/>
        <v>0</v>
      </c>
    </row>
    <row r="233" spans="1:11" x14ac:dyDescent="0.25">
      <c r="A233" s="37">
        <v>44528</v>
      </c>
      <c r="B233" s="41"/>
      <c r="C233" s="41"/>
      <c r="D233" s="41"/>
      <c r="E233" s="41"/>
      <c r="F233" s="41"/>
      <c r="G233" s="41"/>
      <c r="H233" s="44">
        <f t="shared" si="24"/>
        <v>8262.125</v>
      </c>
      <c r="I233" s="44">
        <f t="shared" si="25"/>
        <v>2302794.75</v>
      </c>
      <c r="J233" s="49">
        <f t="shared" si="22"/>
        <v>1757501</v>
      </c>
      <c r="K233" s="16">
        <f t="shared" si="23"/>
        <v>0</v>
      </c>
    </row>
    <row r="234" spans="1:11" x14ac:dyDescent="0.25">
      <c r="A234" s="37">
        <v>44529</v>
      </c>
      <c r="B234" s="41"/>
      <c r="C234" s="41"/>
      <c r="D234" s="41"/>
      <c r="E234" s="41"/>
      <c r="F234" s="41"/>
      <c r="G234" s="41"/>
      <c r="H234" s="44">
        <f t="shared" si="24"/>
        <v>8262.125</v>
      </c>
      <c r="I234" s="44">
        <f t="shared" si="25"/>
        <v>2311056.875</v>
      </c>
      <c r="J234" s="49">
        <f t="shared" si="22"/>
        <v>1757501</v>
      </c>
      <c r="K234" s="16">
        <f t="shared" si="23"/>
        <v>0</v>
      </c>
    </row>
    <row r="235" spans="1:11" x14ac:dyDescent="0.25">
      <c r="A235" s="37">
        <v>44530</v>
      </c>
      <c r="B235" s="41"/>
      <c r="C235" s="41"/>
      <c r="D235" s="41"/>
      <c r="E235" s="41"/>
      <c r="F235" s="41"/>
      <c r="G235" s="41"/>
      <c r="H235" s="44">
        <f t="shared" si="24"/>
        <v>8262.125</v>
      </c>
      <c r="I235" s="44">
        <f t="shared" si="25"/>
        <v>2319319</v>
      </c>
      <c r="J235" s="49">
        <f t="shared" si="22"/>
        <v>1757501</v>
      </c>
      <c r="K235" s="16">
        <f t="shared" si="23"/>
        <v>0</v>
      </c>
    </row>
    <row r="236" spans="1:11" x14ac:dyDescent="0.25">
      <c r="A236" s="37">
        <v>44531</v>
      </c>
      <c r="B236" s="41"/>
      <c r="C236" s="41"/>
      <c r="D236" s="41"/>
      <c r="E236" s="41"/>
      <c r="F236" s="41"/>
      <c r="G236" s="41"/>
      <c r="H236" s="44">
        <f t="shared" si="24"/>
        <v>8262.125</v>
      </c>
      <c r="I236" s="44">
        <f t="shared" si="25"/>
        <v>2327581.125</v>
      </c>
      <c r="J236" s="49">
        <f t="shared" si="22"/>
        <v>1757501</v>
      </c>
      <c r="K236" s="16">
        <f t="shared" si="23"/>
        <v>0</v>
      </c>
    </row>
    <row r="237" spans="1:11" x14ac:dyDescent="0.25">
      <c r="A237" s="37">
        <v>44532</v>
      </c>
      <c r="B237" s="41"/>
      <c r="C237" s="41"/>
      <c r="D237" s="41"/>
      <c r="E237" s="41"/>
      <c r="F237" s="41"/>
      <c r="G237" s="41"/>
      <c r="H237" s="44">
        <f t="shared" si="24"/>
        <v>8262.125</v>
      </c>
      <c r="I237" s="44">
        <f t="shared" si="25"/>
        <v>2335843.25</v>
      </c>
      <c r="J237" s="49">
        <f t="shared" si="22"/>
        <v>1757501</v>
      </c>
      <c r="K237" s="16">
        <f t="shared" si="23"/>
        <v>0</v>
      </c>
    </row>
    <row r="238" spans="1:11" x14ac:dyDescent="0.25">
      <c r="A238" s="37">
        <v>44533</v>
      </c>
      <c r="B238" s="41"/>
      <c r="C238" s="41"/>
      <c r="D238" s="41"/>
      <c r="E238" s="41"/>
      <c r="F238" s="41"/>
      <c r="G238" s="41"/>
      <c r="H238" s="44">
        <f t="shared" si="24"/>
        <v>8262.125</v>
      </c>
      <c r="I238" s="44">
        <f t="shared" si="25"/>
        <v>2344105.375</v>
      </c>
      <c r="J238" s="49">
        <f t="shared" si="22"/>
        <v>1757501</v>
      </c>
      <c r="K238" s="16">
        <f t="shared" si="23"/>
        <v>0</v>
      </c>
    </row>
    <row r="239" spans="1:11" x14ac:dyDescent="0.25">
      <c r="A239" s="37">
        <v>44534</v>
      </c>
      <c r="B239" s="41"/>
      <c r="C239" s="41"/>
      <c r="D239" s="41"/>
      <c r="E239" s="41"/>
      <c r="F239" s="41"/>
      <c r="G239" s="41"/>
      <c r="H239" s="44">
        <f t="shared" si="24"/>
        <v>8262.125</v>
      </c>
      <c r="I239" s="44">
        <f t="shared" si="25"/>
        <v>2352367.5</v>
      </c>
      <c r="J239" s="49">
        <f t="shared" si="22"/>
        <v>1757501</v>
      </c>
      <c r="K239" s="16">
        <f t="shared" si="23"/>
        <v>0</v>
      </c>
    </row>
    <row r="240" spans="1:11" x14ac:dyDescent="0.25">
      <c r="A240" s="37">
        <v>44535</v>
      </c>
      <c r="B240" s="41"/>
      <c r="C240" s="41"/>
      <c r="D240" s="41"/>
      <c r="E240" s="41"/>
      <c r="F240" s="41"/>
      <c r="G240" s="41"/>
      <c r="H240" s="44">
        <f t="shared" si="24"/>
        <v>8262.125</v>
      </c>
      <c r="I240" s="44">
        <f t="shared" si="25"/>
        <v>2360629.625</v>
      </c>
      <c r="J240" s="49">
        <f t="shared" si="22"/>
        <v>1757501</v>
      </c>
      <c r="K240" s="16">
        <f t="shared" si="23"/>
        <v>0</v>
      </c>
    </row>
    <row r="241" spans="1:11" x14ac:dyDescent="0.25">
      <c r="A241" s="37">
        <v>44536</v>
      </c>
      <c r="B241" s="41"/>
      <c r="C241" s="41"/>
      <c r="D241" s="41"/>
      <c r="E241" s="41"/>
      <c r="F241" s="41"/>
      <c r="G241" s="41"/>
      <c r="H241" s="44">
        <f t="shared" si="24"/>
        <v>8262.125</v>
      </c>
      <c r="I241" s="44">
        <f t="shared" si="25"/>
        <v>2368891.75</v>
      </c>
      <c r="J241" s="49">
        <f t="shared" si="22"/>
        <v>1757501</v>
      </c>
      <c r="K241" s="16">
        <f t="shared" si="23"/>
        <v>0</v>
      </c>
    </row>
    <row r="242" spans="1:11" x14ac:dyDescent="0.25">
      <c r="A242" s="37">
        <v>44537</v>
      </c>
      <c r="B242" s="41"/>
      <c r="C242" s="41"/>
      <c r="D242" s="41"/>
      <c r="E242" s="41"/>
      <c r="F242" s="41"/>
      <c r="G242" s="41"/>
      <c r="H242" s="44">
        <f t="shared" si="24"/>
        <v>8262.125</v>
      </c>
      <c r="I242" s="44">
        <f t="shared" si="25"/>
        <v>2377153.875</v>
      </c>
      <c r="J242" s="49">
        <f t="shared" si="22"/>
        <v>1757501</v>
      </c>
      <c r="K242" s="16">
        <f t="shared" si="23"/>
        <v>0</v>
      </c>
    </row>
    <row r="243" spans="1:11" x14ac:dyDescent="0.25">
      <c r="A243" s="37">
        <v>44538</v>
      </c>
      <c r="B243" s="41"/>
      <c r="C243" s="41"/>
      <c r="D243" s="41"/>
      <c r="E243" s="41"/>
      <c r="F243" s="41"/>
      <c r="G243" s="41"/>
      <c r="H243" s="44">
        <f t="shared" si="24"/>
        <v>8262.125</v>
      </c>
      <c r="I243" s="44">
        <f t="shared" si="25"/>
        <v>2385416</v>
      </c>
      <c r="J243" s="49">
        <f t="shared" si="22"/>
        <v>1757501</v>
      </c>
      <c r="K243" s="16">
        <f t="shared" si="23"/>
        <v>0</v>
      </c>
    </row>
    <row r="244" spans="1:11" x14ac:dyDescent="0.25">
      <c r="A244" s="37">
        <v>44539</v>
      </c>
      <c r="B244" s="41"/>
      <c r="C244" s="41"/>
      <c r="D244" s="41"/>
      <c r="E244" s="41"/>
      <c r="F244" s="41"/>
      <c r="G244" s="41"/>
      <c r="H244" s="44">
        <f t="shared" si="24"/>
        <v>8262.125</v>
      </c>
      <c r="I244" s="44">
        <f t="shared" si="25"/>
        <v>2393678.125</v>
      </c>
      <c r="J244" s="49">
        <f t="shared" si="22"/>
        <v>1757501</v>
      </c>
      <c r="K244" s="16">
        <f t="shared" si="23"/>
        <v>0</v>
      </c>
    </row>
    <row r="245" spans="1:11" x14ac:dyDescent="0.25">
      <c r="A245" s="37">
        <v>44540</v>
      </c>
      <c r="B245" s="41"/>
      <c r="C245" s="41"/>
      <c r="D245" s="41"/>
      <c r="E245" s="41"/>
      <c r="F245" s="41"/>
      <c r="G245" s="41"/>
      <c r="H245" s="44">
        <f t="shared" si="24"/>
        <v>8262.125</v>
      </c>
      <c r="I245" s="44">
        <f t="shared" si="25"/>
        <v>2401940.25</v>
      </c>
      <c r="J245" s="49">
        <f t="shared" si="22"/>
        <v>1757501</v>
      </c>
      <c r="K245" s="16">
        <f t="shared" si="23"/>
        <v>0</v>
      </c>
    </row>
    <row r="246" spans="1:11" x14ac:dyDescent="0.25">
      <c r="A246" s="37">
        <v>44541</v>
      </c>
      <c r="B246" s="41"/>
      <c r="C246" s="41"/>
      <c r="D246" s="41"/>
      <c r="E246" s="41"/>
      <c r="F246" s="41"/>
      <c r="G246" s="41"/>
      <c r="H246" s="44">
        <f t="shared" si="24"/>
        <v>8262.125</v>
      </c>
      <c r="I246" s="44">
        <f t="shared" si="25"/>
        <v>2410202.375</v>
      </c>
      <c r="J246" s="49">
        <f t="shared" si="22"/>
        <v>1757501</v>
      </c>
      <c r="K246" s="16">
        <f t="shared" si="23"/>
        <v>0</v>
      </c>
    </row>
    <row r="247" spans="1:11" x14ac:dyDescent="0.25">
      <c r="A247" s="37">
        <v>44542</v>
      </c>
      <c r="B247" s="41"/>
      <c r="C247" s="41"/>
      <c r="D247" s="41"/>
      <c r="E247" s="41"/>
      <c r="F247" s="41"/>
      <c r="G247" s="41"/>
      <c r="H247" s="44">
        <f t="shared" si="24"/>
        <v>8262.125</v>
      </c>
      <c r="I247" s="44">
        <f t="shared" si="25"/>
        <v>2418464.5</v>
      </c>
      <c r="J247" s="49">
        <f t="shared" si="22"/>
        <v>1757501</v>
      </c>
      <c r="K247" s="16">
        <f t="shared" si="23"/>
        <v>0</v>
      </c>
    </row>
    <row r="248" spans="1:11" x14ac:dyDescent="0.25">
      <c r="A248" s="37">
        <v>44543</v>
      </c>
      <c r="B248" s="41"/>
      <c r="C248" s="41"/>
      <c r="D248" s="41"/>
      <c r="E248" s="41"/>
      <c r="F248" s="41"/>
      <c r="G248" s="41"/>
      <c r="H248" s="44">
        <f t="shared" si="24"/>
        <v>8262.125</v>
      </c>
      <c r="I248" s="44">
        <f t="shared" si="25"/>
        <v>2426726.625</v>
      </c>
      <c r="J248" s="49">
        <f t="shared" si="22"/>
        <v>1757501</v>
      </c>
      <c r="K248" s="16">
        <f t="shared" si="23"/>
        <v>0</v>
      </c>
    </row>
    <row r="249" spans="1:11" x14ac:dyDescent="0.25">
      <c r="A249" s="37">
        <v>44544</v>
      </c>
      <c r="B249" s="41"/>
      <c r="C249" s="41"/>
      <c r="D249" s="41"/>
      <c r="E249" s="41"/>
      <c r="F249" s="41"/>
      <c r="G249" s="41"/>
      <c r="H249" s="44">
        <f t="shared" si="24"/>
        <v>8262.125</v>
      </c>
      <c r="I249" s="44">
        <f t="shared" si="25"/>
        <v>2434988.75</v>
      </c>
      <c r="J249" s="49">
        <f t="shared" si="22"/>
        <v>1757501</v>
      </c>
      <c r="K249" s="16">
        <f t="shared" si="23"/>
        <v>0</v>
      </c>
    </row>
    <row r="250" spans="1:11" x14ac:dyDescent="0.25">
      <c r="A250" s="37">
        <v>44545</v>
      </c>
      <c r="B250" s="41"/>
      <c r="C250" s="41"/>
      <c r="D250" s="41"/>
      <c r="E250" s="41"/>
      <c r="F250" s="41"/>
      <c r="G250" s="41"/>
      <c r="H250" s="44">
        <f t="shared" si="24"/>
        <v>8262.125</v>
      </c>
      <c r="I250" s="44">
        <f t="shared" si="25"/>
        <v>2443250.875</v>
      </c>
      <c r="J250" s="49">
        <f t="shared" si="22"/>
        <v>1757501</v>
      </c>
      <c r="K250" s="16">
        <f t="shared" si="23"/>
        <v>0</v>
      </c>
    </row>
    <row r="251" spans="1:11" x14ac:dyDescent="0.25">
      <c r="A251" s="37">
        <v>44546</v>
      </c>
      <c r="B251" s="41"/>
      <c r="C251" s="41"/>
      <c r="D251" s="41"/>
      <c r="E251" s="41"/>
      <c r="F251" s="41"/>
      <c r="G251" s="41"/>
      <c r="H251" s="44">
        <f t="shared" si="24"/>
        <v>8262.125</v>
      </c>
      <c r="I251" s="44">
        <f t="shared" si="25"/>
        <v>2451513</v>
      </c>
      <c r="J251" s="49">
        <f t="shared" si="22"/>
        <v>1757501</v>
      </c>
      <c r="K251" s="16">
        <f t="shared" si="23"/>
        <v>0</v>
      </c>
    </row>
    <row r="252" spans="1:11" x14ac:dyDescent="0.25">
      <c r="A252" s="37">
        <v>44547</v>
      </c>
      <c r="B252" s="41"/>
      <c r="C252" s="41"/>
      <c r="D252" s="41"/>
      <c r="E252" s="41"/>
      <c r="F252" s="41"/>
      <c r="G252" s="41"/>
      <c r="H252" s="44">
        <f t="shared" si="24"/>
        <v>8262.125</v>
      </c>
      <c r="I252" s="44">
        <f t="shared" si="25"/>
        <v>2459775.125</v>
      </c>
      <c r="J252" s="49">
        <f t="shared" si="22"/>
        <v>1757501</v>
      </c>
      <c r="K252" s="16">
        <f t="shared" si="23"/>
        <v>0</v>
      </c>
    </row>
    <row r="253" spans="1:11" x14ac:dyDescent="0.25">
      <c r="A253" s="37">
        <v>44548</v>
      </c>
      <c r="B253" s="41"/>
      <c r="C253" s="41"/>
      <c r="D253" s="41"/>
      <c r="E253" s="41"/>
      <c r="F253" s="41"/>
      <c r="G253" s="41"/>
      <c r="H253" s="44">
        <f t="shared" si="24"/>
        <v>8262.125</v>
      </c>
      <c r="I253" s="44">
        <f t="shared" si="25"/>
        <v>2468037.25</v>
      </c>
      <c r="J253" s="49">
        <f t="shared" si="22"/>
        <v>1757501</v>
      </c>
      <c r="K253" s="16">
        <f t="shared" si="23"/>
        <v>0</v>
      </c>
    </row>
    <row r="254" spans="1:11" x14ac:dyDescent="0.25">
      <c r="A254" s="37">
        <v>44549</v>
      </c>
      <c r="B254" s="41"/>
      <c r="C254" s="41"/>
      <c r="D254" s="41"/>
      <c r="E254" s="41"/>
      <c r="F254" s="41"/>
      <c r="G254" s="41"/>
      <c r="H254" s="44">
        <f t="shared" si="24"/>
        <v>8262.125</v>
      </c>
      <c r="I254" s="44">
        <f t="shared" si="25"/>
        <v>2476299.375</v>
      </c>
      <c r="J254" s="49">
        <f t="shared" si="22"/>
        <v>1757501</v>
      </c>
      <c r="K254" s="16">
        <f t="shared" si="23"/>
        <v>0</v>
      </c>
    </row>
    <row r="255" spans="1:11" x14ac:dyDescent="0.25">
      <c r="A255" s="37">
        <v>44550</v>
      </c>
      <c r="B255" s="41"/>
      <c r="C255" s="41"/>
      <c r="D255" s="41"/>
      <c r="E255" s="41"/>
      <c r="F255" s="41"/>
      <c r="G255" s="41"/>
      <c r="H255" s="44">
        <f t="shared" si="24"/>
        <v>8262.125</v>
      </c>
      <c r="I255" s="44">
        <f t="shared" si="25"/>
        <v>2484561.5</v>
      </c>
      <c r="J255" s="49">
        <f t="shared" si="22"/>
        <v>1757501</v>
      </c>
      <c r="K255" s="16">
        <f t="shared" si="23"/>
        <v>0</v>
      </c>
    </row>
    <row r="256" spans="1:11" x14ac:dyDescent="0.25">
      <c r="A256" s="37">
        <v>44551</v>
      </c>
      <c r="B256" s="41"/>
      <c r="C256" s="41"/>
      <c r="D256" s="41"/>
      <c r="E256" s="41"/>
      <c r="F256" s="41"/>
      <c r="G256" s="41"/>
      <c r="H256" s="44">
        <f t="shared" si="24"/>
        <v>8262.125</v>
      </c>
      <c r="I256" s="44">
        <f t="shared" si="25"/>
        <v>2492823.625</v>
      </c>
      <c r="J256" s="49">
        <f t="shared" si="22"/>
        <v>1757501</v>
      </c>
      <c r="K256" s="16">
        <f t="shared" si="23"/>
        <v>0</v>
      </c>
    </row>
    <row r="257" spans="1:11" x14ac:dyDescent="0.25">
      <c r="A257" s="37">
        <v>44552</v>
      </c>
      <c r="B257" s="41"/>
      <c r="C257" s="41"/>
      <c r="D257" s="41"/>
      <c r="E257" s="41"/>
      <c r="F257" s="41"/>
      <c r="G257" s="41"/>
      <c r="H257" s="44">
        <f t="shared" si="24"/>
        <v>8262.125</v>
      </c>
      <c r="I257" s="44">
        <f t="shared" si="25"/>
        <v>2501085.75</v>
      </c>
      <c r="J257" s="49">
        <f t="shared" si="22"/>
        <v>1757501</v>
      </c>
      <c r="K257" s="16">
        <f t="shared" si="23"/>
        <v>0</v>
      </c>
    </row>
    <row r="258" spans="1:11" x14ac:dyDescent="0.25">
      <c r="A258" s="37">
        <v>44553</v>
      </c>
      <c r="B258" s="41"/>
      <c r="C258" s="41"/>
      <c r="D258" s="41"/>
      <c r="E258" s="41"/>
      <c r="F258" s="41"/>
      <c r="G258" s="41"/>
      <c r="H258" s="44">
        <f t="shared" si="24"/>
        <v>8262.125</v>
      </c>
      <c r="I258" s="44">
        <f t="shared" si="25"/>
        <v>2509347.875</v>
      </c>
      <c r="J258" s="49">
        <f t="shared" si="22"/>
        <v>1757501</v>
      </c>
      <c r="K258" s="16">
        <f t="shared" si="23"/>
        <v>0</v>
      </c>
    </row>
    <row r="259" spans="1:11" x14ac:dyDescent="0.25">
      <c r="A259" s="37">
        <v>44554</v>
      </c>
      <c r="B259" s="41"/>
      <c r="C259" s="41"/>
      <c r="D259" s="41"/>
      <c r="E259" s="41"/>
      <c r="F259" s="41"/>
      <c r="G259" s="41"/>
      <c r="H259" s="44">
        <f t="shared" si="24"/>
        <v>8262.125</v>
      </c>
      <c r="I259" s="44">
        <f t="shared" si="25"/>
        <v>2517610</v>
      </c>
      <c r="J259" s="49">
        <f t="shared" si="22"/>
        <v>1757501</v>
      </c>
      <c r="K259" s="16">
        <f t="shared" si="23"/>
        <v>0</v>
      </c>
    </row>
    <row r="260" spans="1:11" x14ac:dyDescent="0.25">
      <c r="A260" s="37">
        <v>44555</v>
      </c>
      <c r="B260" s="41"/>
      <c r="C260" s="41"/>
      <c r="D260" s="41"/>
      <c r="E260" s="41"/>
      <c r="F260" s="41"/>
      <c r="G260" s="41"/>
      <c r="H260" s="44">
        <f t="shared" si="24"/>
        <v>8262.125</v>
      </c>
      <c r="I260" s="44">
        <f t="shared" si="25"/>
        <v>2525872.125</v>
      </c>
      <c r="J260" s="49">
        <f t="shared" si="22"/>
        <v>1757501</v>
      </c>
      <c r="K260" s="16">
        <f t="shared" si="23"/>
        <v>0</v>
      </c>
    </row>
    <row r="261" spans="1:11" x14ac:dyDescent="0.25">
      <c r="A261" s="37">
        <v>44556</v>
      </c>
      <c r="B261" s="41"/>
      <c r="C261" s="41"/>
      <c r="D261" s="41"/>
      <c r="E261" s="41"/>
      <c r="F261" s="41"/>
      <c r="G261" s="41"/>
      <c r="H261" s="44">
        <f t="shared" si="24"/>
        <v>8262.125</v>
      </c>
      <c r="I261" s="44">
        <f t="shared" si="25"/>
        <v>2534134.25</v>
      </c>
      <c r="J261" s="49">
        <f t="shared" si="22"/>
        <v>1757501</v>
      </c>
      <c r="K261" s="16">
        <f t="shared" si="23"/>
        <v>0</v>
      </c>
    </row>
    <row r="262" spans="1:11" x14ac:dyDescent="0.25">
      <c r="A262" s="37">
        <v>44557</v>
      </c>
      <c r="B262" s="41"/>
      <c r="C262" s="41"/>
      <c r="D262" s="41"/>
      <c r="E262" s="41"/>
      <c r="F262" s="41"/>
      <c r="G262" s="41"/>
      <c r="H262" s="44">
        <f t="shared" si="24"/>
        <v>8262.125</v>
      </c>
      <c r="I262" s="44">
        <f t="shared" si="25"/>
        <v>2542396.375</v>
      </c>
      <c r="J262" s="49">
        <f t="shared" si="22"/>
        <v>1757501</v>
      </c>
      <c r="K262" s="16">
        <f t="shared" si="23"/>
        <v>0</v>
      </c>
    </row>
    <row r="263" spans="1:11" x14ac:dyDescent="0.25">
      <c r="A263" s="37">
        <v>44558</v>
      </c>
      <c r="B263" s="41"/>
      <c r="C263" s="41"/>
      <c r="D263" s="41"/>
      <c r="E263" s="41"/>
      <c r="F263" s="41"/>
      <c r="G263" s="41"/>
      <c r="H263" s="44">
        <f t="shared" si="24"/>
        <v>8262.125</v>
      </c>
      <c r="I263" s="44">
        <f t="shared" si="25"/>
        <v>2550658.5</v>
      </c>
      <c r="J263" s="49">
        <f t="shared" si="22"/>
        <v>1757501</v>
      </c>
      <c r="K263" s="16">
        <f t="shared" ref="K263:K266" si="26">IF(I263&gt;J263,0,1)</f>
        <v>0</v>
      </c>
    </row>
    <row r="264" spans="1:11" x14ac:dyDescent="0.25">
      <c r="A264" s="37">
        <v>44559</v>
      </c>
      <c r="B264" s="41"/>
      <c r="C264" s="41"/>
      <c r="D264" s="41"/>
      <c r="E264" s="41"/>
      <c r="F264" s="41"/>
      <c r="G264" s="41"/>
      <c r="H264" s="44">
        <f t="shared" si="24"/>
        <v>8262.125</v>
      </c>
      <c r="I264" s="44">
        <f t="shared" si="25"/>
        <v>2558920.625</v>
      </c>
      <c r="J264" s="49">
        <f t="shared" si="22"/>
        <v>1757501</v>
      </c>
      <c r="K264" s="16">
        <f t="shared" si="26"/>
        <v>0</v>
      </c>
    </row>
    <row r="265" spans="1:11" x14ac:dyDescent="0.25">
      <c r="A265" s="37">
        <v>44560</v>
      </c>
      <c r="B265" s="41"/>
      <c r="C265" s="41"/>
      <c r="D265" s="41"/>
      <c r="E265" s="41"/>
      <c r="F265" s="41"/>
      <c r="G265" s="41"/>
      <c r="H265" s="44">
        <f t="shared" si="24"/>
        <v>8262.125</v>
      </c>
      <c r="I265" s="44">
        <f t="shared" si="25"/>
        <v>2567182.75</v>
      </c>
      <c r="J265" s="49">
        <f t="shared" si="22"/>
        <v>1757501</v>
      </c>
      <c r="K265" s="16">
        <f t="shared" si="26"/>
        <v>0</v>
      </c>
    </row>
    <row r="266" spans="1:11" x14ac:dyDescent="0.25">
      <c r="A266" s="37">
        <v>44561</v>
      </c>
      <c r="B266" s="41"/>
      <c r="C266" s="41"/>
      <c r="D266" s="41"/>
      <c r="E266" s="41"/>
      <c r="F266" s="41"/>
      <c r="G266" s="41"/>
      <c r="H266" s="44">
        <f t="shared" si="24"/>
        <v>8262.125</v>
      </c>
      <c r="I266" s="44">
        <f t="shared" si="25"/>
        <v>2575444.875</v>
      </c>
      <c r="J266" s="49">
        <f t="shared" si="22"/>
        <v>1757501</v>
      </c>
      <c r="K266" s="16">
        <f t="shared" si="26"/>
        <v>0</v>
      </c>
    </row>
    <row r="267" spans="1:11" x14ac:dyDescent="0.25">
      <c r="H267" s="45"/>
      <c r="I267" s="43"/>
    </row>
    <row r="268" spans="1:11" x14ac:dyDescent="0.25">
      <c r="H268" s="45"/>
    </row>
    <row r="269" spans="1:11" x14ac:dyDescent="0.25">
      <c r="H269" s="45"/>
    </row>
    <row r="270" spans="1:11" x14ac:dyDescent="0.25">
      <c r="H270" s="45"/>
    </row>
    <row r="271" spans="1:11" x14ac:dyDescent="0.25">
      <c r="H271" s="45"/>
    </row>
    <row r="272" spans="1:11" x14ac:dyDescent="0.25">
      <c r="H272" s="45"/>
    </row>
    <row r="273" spans="8:8" x14ac:dyDescent="0.25">
      <c r="H273" s="45"/>
    </row>
    <row r="274" spans="8:8" x14ac:dyDescent="0.25">
      <c r="H274" s="45"/>
    </row>
    <row r="275" spans="8:8" x14ac:dyDescent="0.25">
      <c r="H275" s="45"/>
    </row>
    <row r="276" spans="8:8" x14ac:dyDescent="0.25">
      <c r="H276" s="45"/>
    </row>
    <row r="277" spans="8:8" x14ac:dyDescent="0.25">
      <c r="H277" s="45"/>
    </row>
    <row r="278" spans="8:8" x14ac:dyDescent="0.25">
      <c r="H278" s="45"/>
    </row>
    <row r="279" spans="8:8" x14ac:dyDescent="0.25">
      <c r="H279" s="45"/>
    </row>
    <row r="280" spans="8:8" x14ac:dyDescent="0.25">
      <c r="H280" s="45"/>
    </row>
    <row r="281" spans="8:8" x14ac:dyDescent="0.25">
      <c r="H281" s="45"/>
    </row>
    <row r="282" spans="8:8" x14ac:dyDescent="0.25">
      <c r="H282" s="45"/>
    </row>
    <row r="283" spans="8:8" x14ac:dyDescent="0.25">
      <c r="H283" s="45"/>
    </row>
    <row r="284" spans="8:8" x14ac:dyDescent="0.25">
      <c r="H284" s="45"/>
    </row>
    <row r="285" spans="8:8" x14ac:dyDescent="0.25">
      <c r="H285" s="45"/>
    </row>
    <row r="286" spans="8:8" x14ac:dyDescent="0.25">
      <c r="H286" s="45"/>
    </row>
    <row r="287" spans="8:8" x14ac:dyDescent="0.25">
      <c r="H287" s="45"/>
    </row>
    <row r="288" spans="8:8" x14ac:dyDescent="0.25">
      <c r="H288" s="45"/>
    </row>
    <row r="289" spans="8:8" x14ac:dyDescent="0.25">
      <c r="H289" s="45"/>
    </row>
    <row r="290" spans="8:8" x14ac:dyDescent="0.25">
      <c r="H290" s="45"/>
    </row>
    <row r="291" spans="8:8" x14ac:dyDescent="0.25">
      <c r="H291" s="45"/>
    </row>
    <row r="292" spans="8:8" x14ac:dyDescent="0.25">
      <c r="H292" s="45"/>
    </row>
    <row r="293" spans="8:8" x14ac:dyDescent="0.25">
      <c r="H293" s="45"/>
    </row>
    <row r="294" spans="8:8" x14ac:dyDescent="0.25">
      <c r="H294" s="45"/>
    </row>
    <row r="295" spans="8:8" x14ac:dyDescent="0.25">
      <c r="H295" s="45"/>
    </row>
  </sheetData>
  <conditionalFormatting sqref="H2">
    <cfRule type="cellIs" dxfId="1" priority="1" operator="greaterThan">
      <formula>+MaxDays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List Box 1">
              <controlPr defaultSize="0" autoLine="0" autoPict="0">
                <anchor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1</xdr:col>
                    <xdr:colOff>352425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68"/>
  <sheetViews>
    <sheetView workbookViewId="0">
      <selection activeCell="G16" sqref="G16"/>
    </sheetView>
  </sheetViews>
  <sheetFormatPr defaultColWidth="14.625" defaultRowHeight="15.75" x14ac:dyDescent="0.25"/>
  <cols>
    <col min="1" max="6" width="14.625" style="26"/>
    <col min="7" max="7" width="14.625" style="25"/>
    <col min="8" max="16384" width="14.625" style="26"/>
  </cols>
  <sheetData>
    <row r="1" spans="1:8" x14ac:dyDescent="0.25">
      <c r="A1" s="30" t="s">
        <v>94</v>
      </c>
      <c r="B1" s="30" t="s">
        <v>0</v>
      </c>
      <c r="C1" s="31" t="s">
        <v>91</v>
      </c>
      <c r="D1" s="31" t="s">
        <v>95</v>
      </c>
      <c r="E1" s="31" t="s">
        <v>92</v>
      </c>
      <c r="F1" s="31" t="s">
        <v>93</v>
      </c>
      <c r="G1" s="31" t="s">
        <v>96</v>
      </c>
      <c r="H1" s="31" t="s">
        <v>15</v>
      </c>
    </row>
    <row r="2" spans="1:8" x14ac:dyDescent="0.25">
      <c r="A2" s="32">
        <v>1</v>
      </c>
      <c r="B2" s="32" t="s">
        <v>16</v>
      </c>
      <c r="C2" s="33">
        <v>269043</v>
      </c>
      <c r="D2" s="33">
        <v>12914477</v>
      </c>
      <c r="E2" s="34">
        <v>21.8</v>
      </c>
      <c r="F2" s="34">
        <v>9.1999999999999993</v>
      </c>
      <c r="G2" s="34">
        <f>'4-15'!M2</f>
        <v>307.29000000000002</v>
      </c>
      <c r="H2" s="34">
        <f>'4-15'!Q2</f>
        <v>14.6</v>
      </c>
    </row>
    <row r="3" spans="1:8" x14ac:dyDescent="0.25">
      <c r="A3" s="27">
        <v>2</v>
      </c>
      <c r="B3" s="27" t="s">
        <v>18</v>
      </c>
      <c r="C3" s="29">
        <v>29210</v>
      </c>
      <c r="D3" s="29">
        <v>559561</v>
      </c>
      <c r="E3" s="28">
        <v>14.6</v>
      </c>
      <c r="F3" s="28">
        <v>12.5</v>
      </c>
      <c r="G3" s="28">
        <f>'4-15'!M3</f>
        <v>49.91</v>
      </c>
      <c r="H3" s="28">
        <f>'4-15'!Q3</f>
        <v>14.09</v>
      </c>
    </row>
    <row r="4" spans="1:8" x14ac:dyDescent="0.25">
      <c r="A4" s="32">
        <v>3</v>
      </c>
      <c r="B4" s="32" t="s">
        <v>20</v>
      </c>
      <c r="C4" s="33">
        <v>174705</v>
      </c>
      <c r="D4" s="33">
        <v>7772152</v>
      </c>
      <c r="E4" s="34">
        <v>14.7</v>
      </c>
      <c r="F4" s="34">
        <v>14.2</v>
      </c>
      <c r="G4" s="34">
        <f>'4-15'!M4</f>
        <v>230.3</v>
      </c>
      <c r="H4" s="34">
        <f>'4-15'!Q4</f>
        <v>18.62</v>
      </c>
    </row>
    <row r="5" spans="1:8" x14ac:dyDescent="0.25">
      <c r="A5" s="27">
        <v>4</v>
      </c>
      <c r="B5" s="27" t="s">
        <v>21</v>
      </c>
      <c r="C5" s="29">
        <v>28201</v>
      </c>
      <c r="D5" s="29">
        <v>668271</v>
      </c>
      <c r="E5" s="28">
        <v>20.3</v>
      </c>
      <c r="F5" s="28">
        <v>12.4</v>
      </c>
      <c r="G5" s="28">
        <f>'4-15'!M5</f>
        <v>95.93</v>
      </c>
      <c r="H5" s="28">
        <f>'4-15'!Q5</f>
        <v>17.96</v>
      </c>
    </row>
    <row r="6" spans="1:8" x14ac:dyDescent="0.25">
      <c r="A6" s="32">
        <v>5</v>
      </c>
      <c r="B6" s="32" t="s">
        <v>22</v>
      </c>
      <c r="C6" s="33">
        <v>601942</v>
      </c>
      <c r="D6" s="33">
        <v>24619760</v>
      </c>
      <c r="E6" s="34">
        <v>12.7</v>
      </c>
      <c r="F6" s="34">
        <v>10.8</v>
      </c>
      <c r="G6" s="34">
        <f>'4-15'!M6</f>
        <v>593.05999999999995</v>
      </c>
      <c r="H6" s="34">
        <f>'4-15'!Q6</f>
        <v>24.21</v>
      </c>
    </row>
    <row r="7" spans="1:8" x14ac:dyDescent="0.25">
      <c r="A7" s="27">
        <v>6</v>
      </c>
      <c r="B7" s="27" t="s">
        <v>23</v>
      </c>
      <c r="C7" s="29">
        <v>1952778</v>
      </c>
      <c r="D7" s="29">
        <v>99909302</v>
      </c>
      <c r="E7" s="28">
        <v>13.5</v>
      </c>
      <c r="F7" s="28">
        <v>14.6</v>
      </c>
      <c r="G7" s="28">
        <f>'4-15'!M7</f>
        <v>1623.5</v>
      </c>
      <c r="H7" s="28">
        <f>'4-15'!Q7</f>
        <v>17.13</v>
      </c>
    </row>
    <row r="8" spans="1:8" x14ac:dyDescent="0.25">
      <c r="A8" s="32">
        <v>7</v>
      </c>
      <c r="B8" s="32" t="s">
        <v>24</v>
      </c>
      <c r="C8" s="33">
        <v>14105</v>
      </c>
      <c r="D8" s="33">
        <v>253914</v>
      </c>
      <c r="E8" s="34">
        <v>12.2</v>
      </c>
      <c r="F8" s="34">
        <v>18.3</v>
      </c>
      <c r="G8" s="34">
        <f>'4-15'!M8</f>
        <v>24.86</v>
      </c>
      <c r="H8" s="34">
        <f>'4-15'!Q8</f>
        <v>18.93</v>
      </c>
    </row>
    <row r="9" spans="1:8" x14ac:dyDescent="0.25">
      <c r="A9" s="27">
        <v>8</v>
      </c>
      <c r="B9" s="27" t="s">
        <v>27</v>
      </c>
      <c r="C9" s="29">
        <v>188910</v>
      </c>
      <c r="D9" s="29">
        <v>4952728</v>
      </c>
      <c r="E9" s="28">
        <v>11.1</v>
      </c>
      <c r="F9" s="28">
        <v>11.3</v>
      </c>
      <c r="G9" s="28">
        <f>'4-15'!M9</f>
        <v>277.36</v>
      </c>
      <c r="H9" s="28">
        <f>'4-15'!Q9</f>
        <v>40.799999999999997</v>
      </c>
    </row>
    <row r="10" spans="1:8" x14ac:dyDescent="0.25">
      <c r="A10" s="32">
        <v>9</v>
      </c>
      <c r="B10" s="32" t="s">
        <v>28</v>
      </c>
      <c r="C10" s="33">
        <v>149657</v>
      </c>
      <c r="D10" s="33">
        <v>3879314</v>
      </c>
      <c r="E10" s="34">
        <v>16.7</v>
      </c>
      <c r="F10" s="34">
        <v>10.4</v>
      </c>
      <c r="G10" s="34">
        <f>'4-15'!M10</f>
        <v>257.18</v>
      </c>
      <c r="H10" s="34">
        <f>'4-15'!Q10</f>
        <v>36.71</v>
      </c>
    </row>
    <row r="11" spans="1:8" x14ac:dyDescent="0.25">
      <c r="A11" s="27">
        <v>10</v>
      </c>
      <c r="B11" s="27" t="s">
        <v>29</v>
      </c>
      <c r="C11" s="29">
        <v>219252</v>
      </c>
      <c r="D11" s="29">
        <v>4858684</v>
      </c>
      <c r="E11" s="28">
        <v>10.6</v>
      </c>
      <c r="F11" s="28">
        <v>10.4</v>
      </c>
      <c r="G11" s="28">
        <f>'4-15'!M11</f>
        <v>362.63</v>
      </c>
      <c r="H11" s="28">
        <f>'4-15'!Q11</f>
        <v>16.350000000000001</v>
      </c>
    </row>
    <row r="12" spans="1:8" x14ac:dyDescent="0.25">
      <c r="A12" s="32">
        <v>11</v>
      </c>
      <c r="B12" s="32" t="s">
        <v>30</v>
      </c>
      <c r="C12" s="33">
        <v>384902</v>
      </c>
      <c r="D12" s="33">
        <v>16351772</v>
      </c>
      <c r="E12" s="34">
        <v>12.3</v>
      </c>
      <c r="F12" s="34">
        <v>16.5</v>
      </c>
      <c r="G12" s="34">
        <f>'4-15'!M12</f>
        <v>192.75</v>
      </c>
      <c r="H12" s="34">
        <f>'4-15'!Q12</f>
        <v>32.92</v>
      </c>
    </row>
    <row r="13" spans="1:8" x14ac:dyDescent="0.25">
      <c r="A13" s="27">
        <v>12</v>
      </c>
      <c r="B13" s="27" t="s">
        <v>31</v>
      </c>
      <c r="C13" s="29">
        <v>71686</v>
      </c>
      <c r="D13" s="29">
        <v>2228549</v>
      </c>
      <c r="E13" s="28">
        <v>17.399999999999999</v>
      </c>
      <c r="F13" s="28">
        <v>12.4</v>
      </c>
      <c r="G13" s="28">
        <f>'4-15'!M13</f>
        <v>89.88</v>
      </c>
      <c r="H13" s="28">
        <f>'4-15'!Q13</f>
        <v>19.260000000000002</v>
      </c>
    </row>
    <row r="14" spans="1:8" x14ac:dyDescent="0.25">
      <c r="A14" s="32">
        <v>13</v>
      </c>
      <c r="B14" s="32" t="s">
        <v>32</v>
      </c>
      <c r="C14" s="33">
        <v>38001</v>
      </c>
      <c r="D14" s="33">
        <v>1014538</v>
      </c>
      <c r="E14" s="34">
        <v>28.5</v>
      </c>
      <c r="F14" s="34">
        <v>18.399999999999999</v>
      </c>
      <c r="G14" s="34">
        <f>'4-15'!M14</f>
        <v>59.68</v>
      </c>
      <c r="H14" s="34">
        <f>'4-15'!Q14</f>
        <v>22.52</v>
      </c>
    </row>
    <row r="15" spans="1:8" x14ac:dyDescent="0.25">
      <c r="A15" s="27">
        <v>14</v>
      </c>
      <c r="B15" s="27" t="s">
        <v>33</v>
      </c>
      <c r="C15" s="29">
        <v>16826</v>
      </c>
      <c r="D15" s="29">
        <v>289624</v>
      </c>
      <c r="E15" s="28">
        <v>23.1</v>
      </c>
      <c r="F15" s="28">
        <v>17.2</v>
      </c>
      <c r="G15" s="28">
        <f>'4-15'!M15</f>
        <v>23.86</v>
      </c>
      <c r="H15" s="28">
        <f>'4-15'!Q15</f>
        <v>23.68</v>
      </c>
    </row>
    <row r="16" spans="1:8" x14ac:dyDescent="0.25">
      <c r="A16" s="32">
        <v>15</v>
      </c>
      <c r="B16" s="32" t="s">
        <v>34</v>
      </c>
      <c r="C16" s="33">
        <v>957755</v>
      </c>
      <c r="D16" s="33">
        <v>60169891</v>
      </c>
      <c r="E16" s="34">
        <v>15.5</v>
      </c>
      <c r="F16" s="34">
        <v>12</v>
      </c>
      <c r="G16" s="34">
        <f>'4-15'!M16</f>
        <v>1255.8599999999999</v>
      </c>
      <c r="H16" s="34">
        <f>'4-15'!Q16</f>
        <v>14.47</v>
      </c>
    </row>
    <row r="17" spans="1:8" x14ac:dyDescent="0.25">
      <c r="A17" s="27">
        <v>16</v>
      </c>
      <c r="B17" s="27" t="s">
        <v>35</v>
      </c>
      <c r="C17" s="29">
        <v>318316</v>
      </c>
      <c r="D17" s="29">
        <v>14931928</v>
      </c>
      <c r="E17" s="28">
        <v>13.9</v>
      </c>
      <c r="F17" s="28">
        <v>10.199999999999999</v>
      </c>
      <c r="G17" s="28">
        <f>'4-15'!M17</f>
        <v>484.52</v>
      </c>
      <c r="H17" s="28">
        <f>'4-15'!Q17</f>
        <v>17.14</v>
      </c>
    </row>
    <row r="18" spans="1:8" x14ac:dyDescent="0.25">
      <c r="A18" s="32">
        <v>17</v>
      </c>
      <c r="B18" s="32" t="s">
        <v>36</v>
      </c>
      <c r="C18" s="33">
        <v>115081</v>
      </c>
      <c r="D18" s="33">
        <v>2221979</v>
      </c>
      <c r="E18" s="34">
        <v>11.9</v>
      </c>
      <c r="F18" s="34">
        <v>12.7</v>
      </c>
      <c r="G18" s="34">
        <f>'4-15'!M18</f>
        <v>237.21</v>
      </c>
      <c r="H18" s="34">
        <f>'4-15'!Q18</f>
        <v>31.19</v>
      </c>
    </row>
    <row r="19" spans="1:8" x14ac:dyDescent="0.25">
      <c r="A19" s="27">
        <v>18</v>
      </c>
      <c r="B19" s="27" t="s">
        <v>37</v>
      </c>
      <c r="C19" s="29">
        <v>12125</v>
      </c>
      <c r="D19" s="29">
        <v>381839</v>
      </c>
      <c r="E19" s="28">
        <v>20.7</v>
      </c>
      <c r="F19" s="28">
        <v>18.3</v>
      </c>
      <c r="G19" s="28">
        <f>'4-15'!M19</f>
        <v>22.24</v>
      </c>
      <c r="H19" s="28">
        <f>'4-15'!Q19</f>
        <v>24.13</v>
      </c>
    </row>
    <row r="20" spans="1:8" x14ac:dyDescent="0.25">
      <c r="A20" s="32">
        <v>19</v>
      </c>
      <c r="B20" s="32" t="s">
        <v>38</v>
      </c>
      <c r="C20" s="33">
        <v>45660</v>
      </c>
      <c r="D20" s="33">
        <v>1276171</v>
      </c>
      <c r="E20" s="34">
        <v>24.6</v>
      </c>
      <c r="F20" s="34">
        <v>14.9</v>
      </c>
      <c r="G20" s="34">
        <f>'4-15'!M20</f>
        <v>88.44</v>
      </c>
      <c r="H20" s="34">
        <f>'4-15'!Q20</f>
        <v>18.7</v>
      </c>
    </row>
    <row r="21" spans="1:8" x14ac:dyDescent="0.25">
      <c r="A21" s="27">
        <v>20</v>
      </c>
      <c r="B21" s="27" t="s">
        <v>39</v>
      </c>
      <c r="C21" s="29">
        <v>18582</v>
      </c>
      <c r="D21" s="29">
        <v>355242</v>
      </c>
      <c r="E21" s="28">
        <v>17.899999999999999</v>
      </c>
      <c r="F21" s="28">
        <v>18.100000000000001</v>
      </c>
      <c r="G21" s="28">
        <f>'4-15'!M21</f>
        <v>53.14</v>
      </c>
      <c r="H21" s="28">
        <f>'4-15'!Q21</f>
        <v>20.65</v>
      </c>
    </row>
    <row r="22" spans="1:8" x14ac:dyDescent="0.25">
      <c r="A22" s="32">
        <v>21</v>
      </c>
      <c r="B22" s="32" t="s">
        <v>40</v>
      </c>
      <c r="C22" s="33">
        <v>13811</v>
      </c>
      <c r="D22" s="33">
        <v>320686</v>
      </c>
      <c r="E22" s="34">
        <v>17</v>
      </c>
      <c r="F22" s="34">
        <v>19.899999999999999</v>
      </c>
      <c r="G22" s="34">
        <f>'4-15'!M22</f>
        <v>17.12</v>
      </c>
      <c r="H22" s="34">
        <f>'4-15'!Q22</f>
        <v>27.57</v>
      </c>
    </row>
    <row r="23" spans="1:8" x14ac:dyDescent="0.25">
      <c r="A23" s="27">
        <v>22</v>
      </c>
      <c r="B23" s="27" t="s">
        <v>41</v>
      </c>
      <c r="C23" s="29">
        <v>13639</v>
      </c>
      <c r="D23" s="29">
        <v>410310</v>
      </c>
      <c r="E23" s="28">
        <v>13.9</v>
      </c>
      <c r="F23" s="28">
        <v>11.4</v>
      </c>
      <c r="G23" s="28">
        <f>'4-15'!M23</f>
        <v>24.64</v>
      </c>
      <c r="H23" s="28">
        <f>'4-15'!Q23</f>
        <v>26.5</v>
      </c>
    </row>
    <row r="24" spans="1:8" x14ac:dyDescent="0.25">
      <c r="A24" s="32">
        <v>23</v>
      </c>
      <c r="B24" s="32" t="s">
        <v>42</v>
      </c>
      <c r="C24" s="33">
        <v>14428</v>
      </c>
      <c r="D24" s="33">
        <v>492817</v>
      </c>
      <c r="E24" s="34">
        <v>29.5</v>
      </c>
      <c r="F24" s="34">
        <v>14.3</v>
      </c>
      <c r="G24" s="34">
        <f>'4-15'!M24</f>
        <v>28.08</v>
      </c>
      <c r="H24" s="34">
        <f>'4-15'!Q24</f>
        <v>18.46</v>
      </c>
    </row>
    <row r="25" spans="1:8" x14ac:dyDescent="0.25">
      <c r="A25" s="27">
        <v>24</v>
      </c>
      <c r="B25" s="27" t="s">
        <v>43</v>
      </c>
      <c r="C25" s="29">
        <v>26937</v>
      </c>
      <c r="D25" s="29">
        <v>1023242</v>
      </c>
      <c r="E25" s="28">
        <v>26.7</v>
      </c>
      <c r="F25" s="28">
        <v>12.2</v>
      </c>
      <c r="G25" s="28">
        <f>'4-15'!M25</f>
        <v>42.25</v>
      </c>
      <c r="H25" s="28">
        <f>'4-15'!Q25</f>
        <v>17.43</v>
      </c>
    </row>
    <row r="26" spans="1:8" x14ac:dyDescent="0.25">
      <c r="A26" s="32">
        <v>25</v>
      </c>
      <c r="B26" s="32" t="s">
        <v>44</v>
      </c>
      <c r="C26" s="33">
        <v>42022</v>
      </c>
      <c r="D26" s="33">
        <v>1314540</v>
      </c>
      <c r="E26" s="34">
        <v>26.8</v>
      </c>
      <c r="F26" s="34">
        <v>26.2</v>
      </c>
      <c r="G26" s="34">
        <f>'4-15'!M26</f>
        <v>36.340000000000003</v>
      </c>
      <c r="H26" s="34">
        <f>'4-15'!Q26</f>
        <v>13.75</v>
      </c>
    </row>
    <row r="27" spans="1:8" x14ac:dyDescent="0.25">
      <c r="A27" s="27">
        <v>26</v>
      </c>
      <c r="B27" s="27" t="s">
        <v>45</v>
      </c>
      <c r="C27" s="29">
        <v>193920</v>
      </c>
      <c r="D27" s="29">
        <v>3971573</v>
      </c>
      <c r="E27" s="28">
        <v>14.3</v>
      </c>
      <c r="F27" s="28">
        <v>12.6</v>
      </c>
      <c r="G27" s="28">
        <f>'4-15'!M27</f>
        <v>410.01</v>
      </c>
      <c r="H27" s="28">
        <f>'4-15'!Q27</f>
        <v>27.51</v>
      </c>
    </row>
    <row r="28" spans="1:8" x14ac:dyDescent="0.25">
      <c r="A28" s="32">
        <v>27</v>
      </c>
      <c r="B28" s="32" t="s">
        <v>46</v>
      </c>
      <c r="C28" s="33">
        <v>106221</v>
      </c>
      <c r="D28" s="33">
        <v>2626612</v>
      </c>
      <c r="E28" s="34">
        <v>19.2</v>
      </c>
      <c r="F28" s="34">
        <v>12.7</v>
      </c>
      <c r="G28" s="34">
        <f>'4-15'!M28</f>
        <v>104.38</v>
      </c>
      <c r="H28" s="34">
        <f>'4-15'!Q28</f>
        <v>36.049999999999997</v>
      </c>
    </row>
    <row r="29" spans="1:8" x14ac:dyDescent="0.25">
      <c r="A29" s="27">
        <v>28</v>
      </c>
      <c r="B29" s="27" t="s">
        <v>47</v>
      </c>
      <c r="C29" s="29">
        <v>1471968</v>
      </c>
      <c r="D29" s="29">
        <v>84884933</v>
      </c>
      <c r="E29" s="28">
        <v>15.3</v>
      </c>
      <c r="F29" s="28">
        <v>13</v>
      </c>
      <c r="G29" s="28">
        <f>'4-15'!M29</f>
        <v>1440.39</v>
      </c>
      <c r="H29" s="28">
        <f>'4-15'!Q29</f>
        <v>14.54</v>
      </c>
    </row>
    <row r="30" spans="1:8" x14ac:dyDescent="0.25">
      <c r="A30" s="32">
        <v>29</v>
      </c>
      <c r="B30" s="32" t="s">
        <v>48</v>
      </c>
      <c r="C30" s="33">
        <v>19617</v>
      </c>
      <c r="D30" s="33">
        <v>338550</v>
      </c>
      <c r="E30" s="34">
        <v>25.6</v>
      </c>
      <c r="F30" s="34">
        <v>18.899999999999999</v>
      </c>
      <c r="G30" s="34">
        <f>'4-15'!M30</f>
        <v>40.97</v>
      </c>
      <c r="H30" s="34">
        <f>'4-15'!Q30</f>
        <v>19.989999999999998</v>
      </c>
    </row>
    <row r="31" spans="1:8" x14ac:dyDescent="0.25">
      <c r="A31" s="27">
        <v>30</v>
      </c>
      <c r="B31" s="27" t="s">
        <v>49</v>
      </c>
      <c r="C31" s="29">
        <v>159923</v>
      </c>
      <c r="D31" s="29">
        <v>5966999</v>
      </c>
      <c r="E31" s="28">
        <v>12.2</v>
      </c>
      <c r="F31" s="28">
        <v>12.1</v>
      </c>
      <c r="G31" s="28">
        <f>'4-15'!M31</f>
        <v>318.08</v>
      </c>
      <c r="H31" s="28">
        <f>'4-15'!Q31</f>
        <v>33.85</v>
      </c>
    </row>
    <row r="32" spans="1:8" x14ac:dyDescent="0.25">
      <c r="A32" s="32">
        <v>31</v>
      </c>
      <c r="B32" s="32" t="s">
        <v>50</v>
      </c>
      <c r="C32" s="33">
        <v>46414</v>
      </c>
      <c r="D32" s="33">
        <v>1408654</v>
      </c>
      <c r="E32" s="34">
        <v>20.6</v>
      </c>
      <c r="F32" s="34">
        <v>11.3</v>
      </c>
      <c r="G32" s="34">
        <f>'4-15'!M32</f>
        <v>50.55</v>
      </c>
      <c r="H32" s="34">
        <f>'4-15'!Q32</f>
        <v>20.62</v>
      </c>
    </row>
    <row r="33" spans="1:8" x14ac:dyDescent="0.25">
      <c r="A33" s="27">
        <v>32</v>
      </c>
      <c r="B33" s="27" t="s">
        <v>51</v>
      </c>
      <c r="C33" s="29">
        <v>14246</v>
      </c>
      <c r="D33" s="29">
        <v>293810</v>
      </c>
      <c r="E33" s="28">
        <v>14.1</v>
      </c>
      <c r="F33" s="28">
        <v>6.4</v>
      </c>
      <c r="G33" s="28">
        <f>'4-15'!M33</f>
        <v>23.82</v>
      </c>
      <c r="H33" s="28">
        <f>'4-15'!Q33</f>
        <v>24.65</v>
      </c>
    </row>
    <row r="34" spans="1:8" x14ac:dyDescent="0.25">
      <c r="A34" s="32">
        <v>33</v>
      </c>
      <c r="B34" s="32" t="s">
        <v>52</v>
      </c>
      <c r="C34" s="33">
        <v>8422</v>
      </c>
      <c r="D34" s="33">
        <v>171278</v>
      </c>
      <c r="E34" s="34">
        <v>20.100000000000001</v>
      </c>
      <c r="F34" s="34">
        <v>17.600000000000001</v>
      </c>
      <c r="G34" s="34">
        <f>'4-15'!M34</f>
        <v>15.5</v>
      </c>
      <c r="H34" s="34">
        <f>'4-15'!Q34</f>
        <v>17.28</v>
      </c>
    </row>
    <row r="35" spans="1:8" x14ac:dyDescent="0.25">
      <c r="A35" s="27">
        <v>34</v>
      </c>
      <c r="B35" s="27" t="s">
        <v>53</v>
      </c>
      <c r="C35" s="29">
        <v>367118</v>
      </c>
      <c r="D35" s="29">
        <v>8468770</v>
      </c>
      <c r="E35" s="28">
        <v>12.5</v>
      </c>
      <c r="F35" s="28">
        <v>11.6</v>
      </c>
      <c r="G35" s="28">
        <f>'4-15'!M35</f>
        <v>386.13</v>
      </c>
      <c r="H35" s="28">
        <f>'4-15'!Q35</f>
        <v>27.07</v>
      </c>
    </row>
    <row r="36" spans="1:8" x14ac:dyDescent="0.25">
      <c r="A36" s="32">
        <v>35</v>
      </c>
      <c r="B36" s="32" t="s">
        <v>54</v>
      </c>
      <c r="C36" s="33">
        <v>770577</v>
      </c>
      <c r="D36" s="33">
        <v>28207575</v>
      </c>
      <c r="E36" s="34">
        <v>14</v>
      </c>
      <c r="F36" s="34">
        <v>14.3</v>
      </c>
      <c r="G36" s="34">
        <f>'4-15'!M36</f>
        <v>986.08</v>
      </c>
      <c r="H36" s="34">
        <f>'4-15'!Q36</f>
        <v>29.15</v>
      </c>
    </row>
    <row r="37" spans="1:8" x14ac:dyDescent="0.25">
      <c r="A37" s="27">
        <v>36</v>
      </c>
      <c r="B37" s="27" t="s">
        <v>55</v>
      </c>
      <c r="C37" s="29">
        <v>293582</v>
      </c>
      <c r="D37" s="29">
        <v>14357206</v>
      </c>
      <c r="E37" s="28">
        <v>20.399999999999999</v>
      </c>
      <c r="F37" s="28">
        <v>8.1999999999999993</v>
      </c>
      <c r="G37" s="28">
        <f>'4-15'!M37</f>
        <v>440.23</v>
      </c>
      <c r="H37" s="28">
        <f>'4-15'!Q37</f>
        <v>13.89</v>
      </c>
    </row>
    <row r="38" spans="1:8" x14ac:dyDescent="0.25">
      <c r="A38" s="32">
        <v>37</v>
      </c>
      <c r="B38" s="32" t="s">
        <v>56</v>
      </c>
      <c r="C38" s="33">
        <v>41503</v>
      </c>
      <c r="D38" s="33">
        <v>933042</v>
      </c>
      <c r="E38" s="34">
        <v>20.7</v>
      </c>
      <c r="F38" s="34">
        <v>15.5</v>
      </c>
      <c r="G38" s="34">
        <f>'4-15'!M38</f>
        <v>37.119999999999997</v>
      </c>
      <c r="H38" s="34">
        <f>'4-15'!Q38</f>
        <v>25.15</v>
      </c>
    </row>
    <row r="39" spans="1:8" x14ac:dyDescent="0.25">
      <c r="A39" s="27">
        <v>38</v>
      </c>
      <c r="B39" s="27" t="s">
        <v>57</v>
      </c>
      <c r="C39" s="29">
        <v>8354</v>
      </c>
      <c r="D39" s="29">
        <v>214226</v>
      </c>
      <c r="E39" s="28">
        <v>13</v>
      </c>
      <c r="F39" s="28">
        <v>18.5</v>
      </c>
      <c r="G39" s="28">
        <f>'4-15'!M39</f>
        <v>10</v>
      </c>
      <c r="H39" s="28">
        <f>'4-15'!Q39</f>
        <v>15.04</v>
      </c>
    </row>
    <row r="40" spans="1:8" x14ac:dyDescent="0.25">
      <c r="A40" s="32">
        <v>39</v>
      </c>
      <c r="B40" s="32" t="s">
        <v>58</v>
      </c>
      <c r="C40" s="33">
        <v>18493</v>
      </c>
      <c r="D40" s="33">
        <v>434847</v>
      </c>
      <c r="E40" s="34">
        <v>28.2</v>
      </c>
      <c r="F40" s="34">
        <v>13.1</v>
      </c>
      <c r="G40" s="34">
        <f>'4-15'!M40</f>
        <v>26.55</v>
      </c>
      <c r="H40" s="34">
        <f>'4-15'!Q40</f>
        <v>21.1</v>
      </c>
    </row>
    <row r="41" spans="1:8" x14ac:dyDescent="0.25">
      <c r="A41" s="27">
        <v>40</v>
      </c>
      <c r="B41" s="27" t="s">
        <v>59</v>
      </c>
      <c r="C41" s="29">
        <v>403253</v>
      </c>
      <c r="D41" s="29">
        <v>13354224</v>
      </c>
      <c r="E41" s="28">
        <v>12.5</v>
      </c>
      <c r="F41" s="28">
        <v>12.7</v>
      </c>
      <c r="G41" s="28">
        <f>'4-15'!M41</f>
        <v>542.28</v>
      </c>
      <c r="H41" s="28">
        <f>'4-15'!Q41</f>
        <v>28.06</v>
      </c>
    </row>
    <row r="42" spans="1:8" x14ac:dyDescent="0.25">
      <c r="A42" s="32">
        <v>41</v>
      </c>
      <c r="B42" s="32" t="s">
        <v>60</v>
      </c>
      <c r="C42" s="33">
        <v>365579</v>
      </c>
      <c r="D42" s="33">
        <v>9331478</v>
      </c>
      <c r="E42" s="34">
        <v>16.600000000000001</v>
      </c>
      <c r="F42" s="34">
        <v>12.3</v>
      </c>
      <c r="G42" s="34">
        <f>'4-15'!M42</f>
        <v>230.15</v>
      </c>
      <c r="H42" s="34">
        <f>'4-15'!Q42</f>
        <v>29.18</v>
      </c>
    </row>
    <row r="43" spans="1:8" x14ac:dyDescent="0.25">
      <c r="A43" s="27">
        <v>42</v>
      </c>
      <c r="B43" s="27" t="s">
        <v>61</v>
      </c>
      <c r="C43" s="29">
        <v>161000</v>
      </c>
      <c r="D43" s="29">
        <v>7113457</v>
      </c>
      <c r="E43" s="28">
        <v>10.5</v>
      </c>
      <c r="F43" s="28">
        <v>11.5</v>
      </c>
      <c r="G43" s="28">
        <f>'4-15'!M43</f>
        <v>296.05</v>
      </c>
      <c r="H43" s="28">
        <f>'4-15'!Q43</f>
        <v>31.53</v>
      </c>
    </row>
    <row r="44" spans="1:8" x14ac:dyDescent="0.25">
      <c r="A44" s="32">
        <v>43</v>
      </c>
      <c r="B44" s="32" t="s">
        <v>62</v>
      </c>
      <c r="C44" s="33">
        <v>2716940</v>
      </c>
      <c r="D44" s="33">
        <v>151587328</v>
      </c>
      <c r="E44" s="34">
        <v>18</v>
      </c>
      <c r="F44" s="34">
        <v>18.100000000000001</v>
      </c>
      <c r="G44" s="34">
        <f>'4-15'!M44</f>
        <v>1430.09</v>
      </c>
      <c r="H44" s="34">
        <f>'4-15'!Q44</f>
        <v>16.66</v>
      </c>
    </row>
    <row r="45" spans="1:8" x14ac:dyDescent="0.25">
      <c r="A45" s="27">
        <v>44</v>
      </c>
      <c r="B45" s="27" t="s">
        <v>63</v>
      </c>
      <c r="C45" s="29">
        <v>74228</v>
      </c>
      <c r="D45" s="29">
        <v>4523546</v>
      </c>
      <c r="E45" s="28">
        <v>11.8</v>
      </c>
      <c r="F45" s="28">
        <v>17.8</v>
      </c>
      <c r="G45" s="28">
        <f>'4-15'!M45</f>
        <v>75.510000000000005</v>
      </c>
      <c r="H45" s="28">
        <f>'4-15'!Q45</f>
        <v>23.75</v>
      </c>
    </row>
    <row r="46" spans="1:8" x14ac:dyDescent="0.25">
      <c r="A46" s="32">
        <v>45</v>
      </c>
      <c r="B46" s="32" t="s">
        <v>64</v>
      </c>
      <c r="C46" s="33">
        <v>88625</v>
      </c>
      <c r="D46" s="33">
        <v>2397438</v>
      </c>
      <c r="E46" s="34">
        <v>10.199999999999999</v>
      </c>
      <c r="F46" s="34">
        <v>11</v>
      </c>
      <c r="G46" s="34">
        <f>'4-15'!M46</f>
        <v>136.62</v>
      </c>
      <c r="H46" s="34">
        <f>'4-15'!Q46</f>
        <v>22.83</v>
      </c>
    </row>
    <row r="47" spans="1:8" x14ac:dyDescent="0.25">
      <c r="A47" s="27">
        <v>46</v>
      </c>
      <c r="B47" s="27" t="s">
        <v>65</v>
      </c>
      <c r="C47" s="29">
        <v>210738</v>
      </c>
      <c r="D47" s="29">
        <v>11156453</v>
      </c>
      <c r="E47" s="28">
        <v>11.5</v>
      </c>
      <c r="F47" s="28">
        <v>12.2</v>
      </c>
      <c r="G47" s="28">
        <f>'4-15'!M47</f>
        <v>226.55</v>
      </c>
      <c r="H47" s="28">
        <f>'4-15'!Q47</f>
        <v>16.309999999999999</v>
      </c>
    </row>
    <row r="48" spans="1:8" x14ac:dyDescent="0.25">
      <c r="A48" s="32">
        <v>47</v>
      </c>
      <c r="B48" s="32" t="s">
        <v>66</v>
      </c>
      <c r="C48" s="33">
        <v>42168</v>
      </c>
      <c r="D48" s="33">
        <v>1577307</v>
      </c>
      <c r="E48" s="34">
        <v>22.7</v>
      </c>
      <c r="F48" s="34">
        <v>18.100000000000001</v>
      </c>
      <c r="G48" s="34">
        <f>'4-15'!M48</f>
        <v>54.82</v>
      </c>
      <c r="H48" s="34">
        <f>'4-15'!Q48</f>
        <v>20.12</v>
      </c>
    </row>
    <row r="49" spans="1:8" x14ac:dyDescent="0.25">
      <c r="A49" s="27">
        <v>48</v>
      </c>
      <c r="B49" s="27" t="s">
        <v>67</v>
      </c>
      <c r="C49" s="29">
        <v>1393452</v>
      </c>
      <c r="D49" s="29">
        <v>90245169</v>
      </c>
      <c r="E49" s="28">
        <v>16.100000000000001</v>
      </c>
      <c r="F49" s="28">
        <v>14.5</v>
      </c>
      <c r="G49" s="28">
        <f>'4-15'!M49</f>
        <v>1545.08</v>
      </c>
      <c r="H49" s="28">
        <f>'4-15'!Q49</f>
        <v>12.31</v>
      </c>
    </row>
    <row r="50" spans="1:8" x14ac:dyDescent="0.25">
      <c r="A50" s="32">
        <v>49</v>
      </c>
      <c r="B50" s="32" t="s">
        <v>68</v>
      </c>
      <c r="C50" s="33">
        <v>375751</v>
      </c>
      <c r="D50" s="33">
        <v>9053658</v>
      </c>
      <c r="E50" s="34">
        <v>16.3</v>
      </c>
      <c r="F50" s="34">
        <v>15.8</v>
      </c>
      <c r="G50" s="34">
        <f>'4-15'!M50</f>
        <v>283.04000000000002</v>
      </c>
      <c r="H50" s="34">
        <f>'4-15'!Q50</f>
        <v>13.52</v>
      </c>
    </row>
    <row r="51" spans="1:8" x14ac:dyDescent="0.25">
      <c r="A51" s="27">
        <v>50</v>
      </c>
      <c r="B51" s="27" t="s">
        <v>69</v>
      </c>
      <c r="C51" s="29">
        <v>1496770</v>
      </c>
      <c r="D51" s="29">
        <v>75635325</v>
      </c>
      <c r="E51" s="28">
        <v>12.8</v>
      </c>
      <c r="F51" s="28">
        <v>13.6</v>
      </c>
      <c r="G51" s="28">
        <f>'4-15'!M51</f>
        <v>761.99</v>
      </c>
      <c r="H51" s="28">
        <f>'4-15'!Q51</f>
        <v>24.36</v>
      </c>
    </row>
    <row r="52" spans="1:8" x14ac:dyDescent="0.25">
      <c r="A52" s="32">
        <v>51</v>
      </c>
      <c r="B52" s="32" t="s">
        <v>70</v>
      </c>
      <c r="C52" s="33">
        <v>553947</v>
      </c>
      <c r="D52" s="33">
        <v>11638076</v>
      </c>
      <c r="E52" s="34">
        <v>13.5</v>
      </c>
      <c r="F52" s="34">
        <v>11.8</v>
      </c>
      <c r="G52" s="34">
        <f>'4-15'!M52</f>
        <v>741.98</v>
      </c>
      <c r="H52" s="34">
        <f>'4-15'!Q52</f>
        <v>22.65</v>
      </c>
    </row>
    <row r="53" spans="1:8" x14ac:dyDescent="0.25">
      <c r="A53" s="27">
        <v>52</v>
      </c>
      <c r="B53" s="27" t="s">
        <v>71</v>
      </c>
      <c r="C53" s="29">
        <v>974996</v>
      </c>
      <c r="D53" s="29">
        <v>47873967</v>
      </c>
      <c r="E53" s="28">
        <v>13</v>
      </c>
      <c r="F53" s="28">
        <v>11.5</v>
      </c>
      <c r="G53" s="28">
        <f>'4-15'!M53</f>
        <v>3561.28</v>
      </c>
      <c r="H53" s="28">
        <f>'4-15'!Q53</f>
        <v>25.4</v>
      </c>
    </row>
    <row r="54" spans="1:8" x14ac:dyDescent="0.25">
      <c r="A54" s="32">
        <v>53</v>
      </c>
      <c r="B54" s="32" t="s">
        <v>72</v>
      </c>
      <c r="C54" s="33">
        <v>724777</v>
      </c>
      <c r="D54" s="33">
        <v>24837880</v>
      </c>
      <c r="E54" s="34">
        <v>16.600000000000001</v>
      </c>
      <c r="F54" s="34">
        <v>13.2</v>
      </c>
      <c r="G54" s="34">
        <f>'4-15'!M54</f>
        <v>403.21</v>
      </c>
      <c r="H54" s="34">
        <f>'4-15'!Q54</f>
        <v>20.440000000000001</v>
      </c>
    </row>
    <row r="55" spans="1:8" x14ac:dyDescent="0.25">
      <c r="A55" s="27">
        <v>54</v>
      </c>
      <c r="B55" s="27" t="s">
        <v>73</v>
      </c>
      <c r="C55" s="29">
        <v>74521</v>
      </c>
      <c r="D55" s="29">
        <v>2066592</v>
      </c>
      <c r="E55" s="28">
        <v>24.8</v>
      </c>
      <c r="F55" s="28">
        <v>16</v>
      </c>
      <c r="G55" s="28">
        <f>'4-15'!M55</f>
        <v>102.38</v>
      </c>
      <c r="H55" s="28">
        <f>'4-15'!Q55</f>
        <v>23.72</v>
      </c>
    </row>
    <row r="56" spans="1:8" x14ac:dyDescent="0.25">
      <c r="A56" s="32">
        <v>55</v>
      </c>
      <c r="B56" s="32" t="s">
        <v>74</v>
      </c>
      <c r="C56" s="33">
        <v>184313</v>
      </c>
      <c r="D56" s="33">
        <v>7778133</v>
      </c>
      <c r="E56" s="34">
        <v>9.8000000000000007</v>
      </c>
      <c r="F56" s="34">
        <v>10</v>
      </c>
      <c r="G56" s="34">
        <f>'4-15'!M56</f>
        <v>182.06</v>
      </c>
      <c r="H56" s="34">
        <f>'4-15'!Q56</f>
        <v>16.34</v>
      </c>
    </row>
    <row r="57" spans="1:8" x14ac:dyDescent="0.25">
      <c r="A57" s="27">
        <v>56</v>
      </c>
      <c r="B57" s="27" t="s">
        <v>75</v>
      </c>
      <c r="C57" s="29">
        <v>433742</v>
      </c>
      <c r="D57" s="29">
        <v>8431479</v>
      </c>
      <c r="E57" s="28">
        <v>9.6999999999999993</v>
      </c>
      <c r="F57" s="28">
        <v>11.4</v>
      </c>
      <c r="G57" s="28">
        <f>'4-15'!M57</f>
        <v>780.13</v>
      </c>
      <c r="H57" s="28">
        <f>'4-15'!Q57</f>
        <v>37.340000000000003</v>
      </c>
    </row>
    <row r="58" spans="1:8" x14ac:dyDescent="0.25">
      <c r="A58" s="32">
        <v>57</v>
      </c>
      <c r="B58" s="32" t="s">
        <v>76</v>
      </c>
      <c r="C58" s="33">
        <v>471826</v>
      </c>
      <c r="D58" s="33">
        <v>4137020</v>
      </c>
      <c r="E58" s="34">
        <v>11.4</v>
      </c>
      <c r="F58" s="34">
        <v>10.4</v>
      </c>
      <c r="G58" s="34">
        <f>'4-15'!M58</f>
        <v>1525.34</v>
      </c>
      <c r="H58" s="34">
        <f>'4-15'!Q58</f>
        <v>15.98</v>
      </c>
    </row>
    <row r="59" spans="1:8" x14ac:dyDescent="0.25">
      <c r="A59" s="27">
        <v>58</v>
      </c>
      <c r="B59" s="27" t="s">
        <v>77</v>
      </c>
      <c r="C59" s="29">
        <v>264672</v>
      </c>
      <c r="D59" s="29">
        <v>18382610</v>
      </c>
      <c r="E59" s="28">
        <v>8.4</v>
      </c>
      <c r="F59" s="28">
        <v>8.4</v>
      </c>
      <c r="G59" s="28">
        <f>'4-15'!M59</f>
        <v>440.71</v>
      </c>
      <c r="H59" s="28">
        <f>'4-15'!Q59</f>
        <v>20.65</v>
      </c>
    </row>
    <row r="60" spans="1:8" x14ac:dyDescent="0.25">
      <c r="A60" s="32">
        <v>59</v>
      </c>
      <c r="B60" s="32" t="s">
        <v>78</v>
      </c>
      <c r="C60" s="33">
        <v>328297</v>
      </c>
      <c r="D60" s="33">
        <v>20654326</v>
      </c>
      <c r="E60" s="34">
        <v>15</v>
      </c>
      <c r="F60" s="34">
        <v>14</v>
      </c>
      <c r="G60" s="34">
        <f>'4-15'!M60</f>
        <v>574.29999999999995</v>
      </c>
      <c r="H60" s="34">
        <f>'4-15'!Q60</f>
        <v>24.65</v>
      </c>
    </row>
    <row r="61" spans="1:8" x14ac:dyDescent="0.25">
      <c r="A61" s="27">
        <v>60</v>
      </c>
      <c r="B61" s="27" t="s">
        <v>79</v>
      </c>
      <c r="C61" s="29">
        <v>132420</v>
      </c>
      <c r="D61" s="29">
        <v>2690053</v>
      </c>
      <c r="E61" s="28">
        <v>8.8000000000000007</v>
      </c>
      <c r="F61" s="28">
        <v>6.2</v>
      </c>
      <c r="G61" s="28">
        <f>'4-15'!M61</f>
        <v>237.68</v>
      </c>
      <c r="H61" s="28">
        <f>'4-15'!Q61</f>
        <v>58.17</v>
      </c>
    </row>
    <row r="62" spans="1:8" x14ac:dyDescent="0.25">
      <c r="A62" s="32">
        <v>61</v>
      </c>
      <c r="B62" s="32" t="s">
        <v>80</v>
      </c>
      <c r="C62" s="33">
        <v>44417</v>
      </c>
      <c r="D62" s="33">
        <v>1258570</v>
      </c>
      <c r="E62" s="34">
        <v>17.8</v>
      </c>
      <c r="F62" s="34">
        <v>13.9</v>
      </c>
      <c r="G62" s="34">
        <f>'4-15'!M62</f>
        <v>64.510000000000005</v>
      </c>
      <c r="H62" s="34">
        <f>'4-15'!Q62</f>
        <v>21.73</v>
      </c>
    </row>
    <row r="63" spans="1:8" x14ac:dyDescent="0.25">
      <c r="A63" s="27">
        <v>62</v>
      </c>
      <c r="B63" s="27" t="s">
        <v>81</v>
      </c>
      <c r="C63" s="29">
        <v>21569</v>
      </c>
      <c r="D63" s="29">
        <v>766755</v>
      </c>
      <c r="E63" s="28">
        <v>19.8</v>
      </c>
      <c r="F63" s="28">
        <v>10.9</v>
      </c>
      <c r="G63" s="28">
        <f>'4-15'!M63</f>
        <v>20.67</v>
      </c>
      <c r="H63" s="28">
        <f>'4-15'!Q63</f>
        <v>20.98</v>
      </c>
    </row>
    <row r="64" spans="1:8" x14ac:dyDescent="0.25">
      <c r="A64" s="32">
        <v>63</v>
      </c>
      <c r="B64" s="32" t="s">
        <v>82</v>
      </c>
      <c r="C64" s="33">
        <v>15237</v>
      </c>
      <c r="D64" s="33">
        <v>272507</v>
      </c>
      <c r="E64" s="34">
        <v>22</v>
      </c>
      <c r="F64" s="34">
        <v>12.4</v>
      </c>
      <c r="G64" s="34">
        <f>'4-15'!M64</f>
        <v>62.56</v>
      </c>
      <c r="H64" s="34">
        <f>'4-15'!Q64</f>
        <v>15.21</v>
      </c>
    </row>
    <row r="65" spans="1:8" x14ac:dyDescent="0.25">
      <c r="A65" s="27">
        <v>64</v>
      </c>
      <c r="B65" s="27" t="s">
        <v>83</v>
      </c>
      <c r="C65" s="29">
        <v>553284</v>
      </c>
      <c r="D65" s="29">
        <v>17063419</v>
      </c>
      <c r="E65" s="28">
        <v>15.2</v>
      </c>
      <c r="F65" s="28">
        <v>12.5</v>
      </c>
      <c r="G65" s="28">
        <f>'4-15'!M65</f>
        <v>502.42</v>
      </c>
      <c r="H65" s="28">
        <f>'4-15'!Q65</f>
        <v>24.91</v>
      </c>
    </row>
    <row r="66" spans="1:8" x14ac:dyDescent="0.25">
      <c r="A66" s="32">
        <v>65</v>
      </c>
      <c r="B66" s="32" t="s">
        <v>84</v>
      </c>
      <c r="C66" s="33">
        <v>33739</v>
      </c>
      <c r="D66" s="33">
        <v>692619</v>
      </c>
      <c r="E66" s="34">
        <v>11.5</v>
      </c>
      <c r="F66" s="34">
        <v>9</v>
      </c>
      <c r="G66" s="34">
        <f>'4-15'!M66</f>
        <v>55.64</v>
      </c>
      <c r="H66" s="34">
        <f>'4-15'!Q66</f>
        <v>15.9</v>
      </c>
    </row>
    <row r="67" spans="1:8" x14ac:dyDescent="0.25">
      <c r="A67" s="27">
        <v>66</v>
      </c>
      <c r="B67" s="27" t="s">
        <v>85</v>
      </c>
      <c r="C67" s="29">
        <v>74071</v>
      </c>
      <c r="D67" s="29">
        <v>2775045</v>
      </c>
      <c r="E67" s="28">
        <v>14.7</v>
      </c>
      <c r="F67" s="28">
        <v>13.5</v>
      </c>
      <c r="G67" s="28">
        <f>'4-15'!M67</f>
        <v>71.38</v>
      </c>
      <c r="H67" s="28">
        <f>'4-15'!Q67</f>
        <v>20.22</v>
      </c>
    </row>
    <row r="68" spans="1:8" x14ac:dyDescent="0.25">
      <c r="A68" s="32">
        <v>67</v>
      </c>
      <c r="B68" s="32" t="s">
        <v>86</v>
      </c>
      <c r="C68" s="33">
        <v>25473</v>
      </c>
      <c r="D68" s="33">
        <v>524311</v>
      </c>
      <c r="E68" s="34">
        <v>22.4</v>
      </c>
      <c r="F68" s="34">
        <v>12.8</v>
      </c>
      <c r="G68" s="34">
        <f>'4-15'!M68</f>
        <v>43.57</v>
      </c>
      <c r="H68" s="34">
        <f>'4-15'!Q68</f>
        <v>17.2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F3B6A-4DE7-4263-BFBA-EDDA24F3182F}">
  <dimension ref="A1:M68"/>
  <sheetViews>
    <sheetView workbookViewId="0">
      <selection activeCell="H14" sqref="H14"/>
    </sheetView>
  </sheetViews>
  <sheetFormatPr defaultColWidth="14.625" defaultRowHeight="15.75" x14ac:dyDescent="0.25"/>
  <cols>
    <col min="1" max="6" width="14.625" style="26"/>
    <col min="7" max="7" width="14.625" style="25"/>
    <col min="8" max="16384" width="14.625" style="26"/>
  </cols>
  <sheetData>
    <row r="1" spans="1:13" x14ac:dyDescent="0.25">
      <c r="A1" s="30" t="s">
        <v>94</v>
      </c>
      <c r="B1" s="30" t="s">
        <v>0</v>
      </c>
      <c r="C1" s="31" t="s">
        <v>91</v>
      </c>
      <c r="D1" s="31" t="s">
        <v>95</v>
      </c>
      <c r="E1" s="31" t="s">
        <v>92</v>
      </c>
      <c r="F1" s="31" t="s">
        <v>93</v>
      </c>
      <c r="G1" s="31" t="s">
        <v>96</v>
      </c>
      <c r="H1" s="31" t="s">
        <v>15</v>
      </c>
      <c r="I1" s="31" t="s">
        <v>4</v>
      </c>
      <c r="J1" s="31" t="s">
        <v>101</v>
      </c>
      <c r="K1" s="31" t="s">
        <v>112</v>
      </c>
      <c r="L1" s="31" t="s">
        <v>113</v>
      </c>
      <c r="M1" s="31" t="s">
        <v>114</v>
      </c>
    </row>
    <row r="2" spans="1:13" x14ac:dyDescent="0.25">
      <c r="A2" s="32">
        <v>1</v>
      </c>
      <c r="B2" s="32" t="s">
        <v>16</v>
      </c>
      <c r="C2" s="33">
        <v>269043</v>
      </c>
      <c r="D2" s="33">
        <v>12914477</v>
      </c>
      <c r="E2" s="34">
        <f>'4-22'!P2</f>
        <v>21.8</v>
      </c>
      <c r="F2" s="34">
        <v>9.1999999999999993</v>
      </c>
      <c r="G2" s="34">
        <f>'4-15'!M2</f>
        <v>307.29000000000002</v>
      </c>
      <c r="H2" s="34">
        <f>'4-15'!Q2</f>
        <v>14.6</v>
      </c>
      <c r="I2" s="33">
        <f>'4-22'!F2</f>
        <v>77333</v>
      </c>
      <c r="J2" s="50">
        <f>I2/C2</f>
        <v>0.287437324145211</v>
      </c>
      <c r="K2" s="33">
        <f>AVERAGE('4-22'!F2-'4-21'!F2,'4-21'!F2-'4-20'!F2,'4-20'!F2-'4-19'!F2,'4-19'!F2-'4-18'!F2,'4-18'!F2-'4-17'!F2,'4-17'!F2-'4-16'!F2,'4-16'!F2-'4-15'!F2)</f>
        <v>1327.4285714285713</v>
      </c>
      <c r="L2" s="34">
        <f>ROUNDUP((C2-I2)/K2,0)</f>
        <v>145</v>
      </c>
      <c r="M2" s="52">
        <f ca="1">TODAY()+L2</f>
        <v>44460</v>
      </c>
    </row>
    <row r="3" spans="1:13" x14ac:dyDescent="0.25">
      <c r="A3" s="27">
        <v>2</v>
      </c>
      <c r="B3" s="27" t="s">
        <v>18</v>
      </c>
      <c r="C3" s="29">
        <v>29210</v>
      </c>
      <c r="D3" s="29">
        <v>559561</v>
      </c>
      <c r="E3" s="28">
        <f>'4-22'!P3</f>
        <v>14.6</v>
      </c>
      <c r="F3" s="28">
        <v>12.5</v>
      </c>
      <c r="G3" s="28">
        <f>'4-15'!M3</f>
        <v>49.91</v>
      </c>
      <c r="H3" s="28">
        <f>'4-15'!Q3</f>
        <v>14.09</v>
      </c>
      <c r="I3" s="53">
        <f>'4-22'!F3</f>
        <v>3634</v>
      </c>
      <c r="J3" s="54">
        <f t="shared" ref="J3:J66" si="0">I3/C3</f>
        <v>0.12440944881889764</v>
      </c>
      <c r="K3" s="53">
        <f>AVERAGE('4-22'!F3-'4-21'!F3,'4-21'!F3-'4-20'!F3,'4-20'!F3-'4-19'!F3,'4-19'!F3-'4-18'!F3,'4-18'!F3-'4-17'!F3,'4-17'!F3-'4-16'!F3,'4-16'!F3-'4-15'!F3)</f>
        <v>39.142857142857146</v>
      </c>
      <c r="L3" s="55">
        <f t="shared" ref="L3:L66" si="1">ROUNDUP((C3-I3)/K3,0)</f>
        <v>654</v>
      </c>
      <c r="M3" s="51">
        <f t="shared" ref="M3:M66" ca="1" si="2">TODAY()+L3</f>
        <v>44969</v>
      </c>
    </row>
    <row r="4" spans="1:13" x14ac:dyDescent="0.25">
      <c r="A4" s="32">
        <v>3</v>
      </c>
      <c r="B4" s="32" t="s">
        <v>20</v>
      </c>
      <c r="C4" s="33">
        <v>174705</v>
      </c>
      <c r="D4" s="33">
        <v>7772152</v>
      </c>
      <c r="E4" s="34">
        <f>'4-22'!P4</f>
        <v>14.7</v>
      </c>
      <c r="F4" s="34">
        <v>14.2</v>
      </c>
      <c r="G4" s="34">
        <f>'4-15'!M4</f>
        <v>230.3</v>
      </c>
      <c r="H4" s="34">
        <f>'4-15'!Q4</f>
        <v>18.62</v>
      </c>
      <c r="I4" s="33">
        <f>'4-22'!F4</f>
        <v>37092</v>
      </c>
      <c r="J4" s="50">
        <f t="shared" si="0"/>
        <v>0.21231218339486563</v>
      </c>
      <c r="K4" s="33">
        <f>AVERAGE('4-22'!F4-'4-21'!F4,'4-21'!F4-'4-20'!F4,'4-20'!F4-'4-19'!F4,'4-19'!F4-'4-18'!F4,'4-18'!F4-'4-17'!F4,'4-17'!F4-'4-16'!F4,'4-16'!F4-'4-15'!F4)</f>
        <v>378.85714285714283</v>
      </c>
      <c r="L4" s="34">
        <f t="shared" si="1"/>
        <v>364</v>
      </c>
      <c r="M4" s="52">
        <f t="shared" ca="1" si="2"/>
        <v>44679</v>
      </c>
    </row>
    <row r="5" spans="1:13" x14ac:dyDescent="0.25">
      <c r="A5" s="27">
        <v>4</v>
      </c>
      <c r="B5" s="27" t="s">
        <v>21</v>
      </c>
      <c r="C5" s="29">
        <v>28201</v>
      </c>
      <c r="D5" s="29">
        <v>668271</v>
      </c>
      <c r="E5" s="28">
        <f>'4-22'!P5</f>
        <v>20.3</v>
      </c>
      <c r="F5" s="28">
        <v>12.4</v>
      </c>
      <c r="G5" s="28">
        <f>'4-15'!M5</f>
        <v>95.93</v>
      </c>
      <c r="H5" s="28">
        <f>'4-15'!Q5</f>
        <v>17.96</v>
      </c>
      <c r="I5" s="53">
        <f>'4-22'!F5</f>
        <v>3968</v>
      </c>
      <c r="J5" s="54">
        <f t="shared" si="0"/>
        <v>0.14070423034644161</v>
      </c>
      <c r="K5" s="53">
        <f>AVERAGE('4-22'!F5-'4-21'!F5,'4-21'!F5-'4-20'!F5,'4-20'!F5-'4-19'!F5,'4-19'!F5-'4-18'!F5,'4-18'!F5-'4-17'!F5,'4-17'!F5-'4-16'!F5,'4-16'!F5-'4-15'!F5)</f>
        <v>42.428571428571431</v>
      </c>
      <c r="L5" s="55">
        <f t="shared" si="1"/>
        <v>572</v>
      </c>
      <c r="M5" s="51">
        <f t="shared" ca="1" si="2"/>
        <v>44887</v>
      </c>
    </row>
    <row r="6" spans="1:13" x14ac:dyDescent="0.25">
      <c r="A6" s="32">
        <v>5</v>
      </c>
      <c r="B6" s="32" t="s">
        <v>22</v>
      </c>
      <c r="C6" s="33">
        <v>601942</v>
      </c>
      <c r="D6" s="33">
        <v>24619760</v>
      </c>
      <c r="E6" s="34">
        <f>'4-22'!P6</f>
        <v>12.7</v>
      </c>
      <c r="F6" s="34">
        <v>10.8</v>
      </c>
      <c r="G6" s="34">
        <f>'4-15'!M6</f>
        <v>593.05999999999995</v>
      </c>
      <c r="H6" s="34">
        <f>'4-15'!Q6</f>
        <v>24.21</v>
      </c>
      <c r="I6" s="33">
        <f>'4-22'!F6</f>
        <v>152141</v>
      </c>
      <c r="J6" s="50">
        <f t="shared" si="0"/>
        <v>0.25275026497569536</v>
      </c>
      <c r="K6" s="33">
        <f>AVERAGE('4-22'!F6-'4-21'!F6,'4-21'!F6-'4-20'!F6,'4-20'!F6-'4-19'!F6,'4-19'!F6-'4-18'!F6,'4-18'!F6-'4-17'!F6,'4-17'!F6-'4-16'!F6,'4-16'!F6-'4-15'!F6)</f>
        <v>3056.2857142857142</v>
      </c>
      <c r="L6" s="34">
        <f t="shared" si="1"/>
        <v>148</v>
      </c>
      <c r="M6" s="52">
        <f t="shared" ca="1" si="2"/>
        <v>44463</v>
      </c>
    </row>
    <row r="7" spans="1:13" x14ac:dyDescent="0.25">
      <c r="A7" s="27">
        <v>6</v>
      </c>
      <c r="B7" s="27" t="s">
        <v>23</v>
      </c>
      <c r="C7" s="29">
        <v>1952778</v>
      </c>
      <c r="D7" s="29">
        <v>99909302</v>
      </c>
      <c r="E7" s="28">
        <f>'4-22'!P7</f>
        <v>13.5</v>
      </c>
      <c r="F7" s="28">
        <v>14.6</v>
      </c>
      <c r="G7" s="28">
        <f>'4-15'!M7</f>
        <v>1623.5</v>
      </c>
      <c r="H7" s="28">
        <f>'4-15'!Q7</f>
        <v>17.13</v>
      </c>
      <c r="I7" s="53">
        <f>'4-22'!F7</f>
        <v>481336</v>
      </c>
      <c r="J7" s="54">
        <f t="shared" si="0"/>
        <v>0.24648782401276539</v>
      </c>
      <c r="K7" s="53">
        <f>AVERAGE('4-22'!F7-'4-21'!F7,'4-21'!F7-'4-20'!F7,'4-20'!F7-'4-19'!F7,'4-19'!F7-'4-18'!F7,'4-18'!F7-'4-17'!F7,'4-17'!F7-'4-16'!F7,'4-16'!F7-'4-15'!F7)</f>
        <v>9003.1428571428569</v>
      </c>
      <c r="L7" s="55">
        <f t="shared" si="1"/>
        <v>164</v>
      </c>
      <c r="M7" s="51">
        <f t="shared" ca="1" si="2"/>
        <v>44479</v>
      </c>
    </row>
    <row r="8" spans="1:13" x14ac:dyDescent="0.25">
      <c r="A8" s="32">
        <v>7</v>
      </c>
      <c r="B8" s="32" t="s">
        <v>24</v>
      </c>
      <c r="C8" s="33">
        <v>14105</v>
      </c>
      <c r="D8" s="33">
        <v>253914</v>
      </c>
      <c r="E8" s="34">
        <f>'4-22'!P8</f>
        <v>12.2</v>
      </c>
      <c r="F8" s="34">
        <v>18.3</v>
      </c>
      <c r="G8" s="34">
        <f>'4-15'!M8</f>
        <v>24.86</v>
      </c>
      <c r="H8" s="34">
        <f>'4-15'!Q8</f>
        <v>18.93</v>
      </c>
      <c r="I8" s="33">
        <f>'4-22'!F8</f>
        <v>2111</v>
      </c>
      <c r="J8" s="50">
        <f t="shared" si="0"/>
        <v>0.14966323998582062</v>
      </c>
      <c r="K8" s="33">
        <f>AVERAGE('4-22'!F8-'4-21'!F8,'4-21'!F8-'4-20'!F8,'4-20'!F8-'4-19'!F8,'4-19'!F8-'4-18'!F8,'4-18'!F8-'4-17'!F8,'4-17'!F8-'4-16'!F8,'4-16'!F8-'4-15'!F8)</f>
        <v>18</v>
      </c>
      <c r="L8" s="34">
        <f t="shared" si="1"/>
        <v>667</v>
      </c>
      <c r="M8" s="52">
        <f t="shared" ca="1" si="2"/>
        <v>44982</v>
      </c>
    </row>
    <row r="9" spans="1:13" x14ac:dyDescent="0.25">
      <c r="A9" s="27">
        <v>8</v>
      </c>
      <c r="B9" s="27" t="s">
        <v>27</v>
      </c>
      <c r="C9" s="29">
        <v>188910</v>
      </c>
      <c r="D9" s="29">
        <v>4952728</v>
      </c>
      <c r="E9" s="28">
        <f>'4-22'!P9</f>
        <v>11.1</v>
      </c>
      <c r="F9" s="28">
        <v>11.3</v>
      </c>
      <c r="G9" s="28">
        <f>'4-15'!M9</f>
        <v>277.36</v>
      </c>
      <c r="H9" s="28">
        <f>'4-15'!Q9</f>
        <v>40.799999999999997</v>
      </c>
      <c r="I9" s="53">
        <f>'4-22'!F9</f>
        <v>65886</v>
      </c>
      <c r="J9" s="54">
        <f t="shared" si="0"/>
        <v>0.34876925520088931</v>
      </c>
      <c r="K9" s="53">
        <f>AVERAGE('4-22'!F9-'4-21'!F9,'4-21'!F9-'4-20'!F9,'4-20'!F9-'4-19'!F9,'4-19'!F9-'4-18'!F9,'4-18'!F9-'4-17'!F9,'4-17'!F9-'4-16'!F9,'4-16'!F9-'4-15'!F9)</f>
        <v>1198</v>
      </c>
      <c r="L9" s="55">
        <f t="shared" si="1"/>
        <v>103</v>
      </c>
      <c r="M9" s="51">
        <f t="shared" ca="1" si="2"/>
        <v>44418</v>
      </c>
    </row>
    <row r="10" spans="1:13" x14ac:dyDescent="0.25">
      <c r="A10" s="32">
        <v>9</v>
      </c>
      <c r="B10" s="32" t="s">
        <v>28</v>
      </c>
      <c r="C10" s="33">
        <v>149657</v>
      </c>
      <c r="D10" s="33">
        <v>3879314</v>
      </c>
      <c r="E10" s="34">
        <f>'4-22'!P10</f>
        <v>16.7</v>
      </c>
      <c r="F10" s="34">
        <v>10.4</v>
      </c>
      <c r="G10" s="34">
        <f>'4-15'!M10</f>
        <v>257.18</v>
      </c>
      <c r="H10" s="34">
        <f>'4-15'!Q10</f>
        <v>36.71</v>
      </c>
      <c r="I10" s="33">
        <f>'4-22'!F10</f>
        <v>42441</v>
      </c>
      <c r="J10" s="50">
        <f t="shared" si="0"/>
        <v>0.28358847230667461</v>
      </c>
      <c r="K10" s="33">
        <f>AVERAGE('4-22'!F10-'4-21'!F10,'4-21'!F10-'4-20'!F10,'4-20'!F10-'4-19'!F10,'4-19'!F10-'4-18'!F10,'4-18'!F10-'4-17'!F10,'4-17'!F10-'4-16'!F10,'4-16'!F10-'4-15'!F10)</f>
        <v>616.71428571428567</v>
      </c>
      <c r="L10" s="34">
        <f t="shared" si="1"/>
        <v>174</v>
      </c>
      <c r="M10" s="52">
        <f t="shared" ca="1" si="2"/>
        <v>44489</v>
      </c>
    </row>
    <row r="11" spans="1:13" x14ac:dyDescent="0.25">
      <c r="A11" s="27">
        <v>10</v>
      </c>
      <c r="B11" s="27" t="s">
        <v>29</v>
      </c>
      <c r="C11" s="29">
        <v>219252</v>
      </c>
      <c r="D11" s="29">
        <v>4858684</v>
      </c>
      <c r="E11" s="28">
        <f>'4-22'!P11</f>
        <v>10.6</v>
      </c>
      <c r="F11" s="28">
        <v>10.4</v>
      </c>
      <c r="G11" s="28">
        <f>'4-15'!M11</f>
        <v>362.63</v>
      </c>
      <c r="H11" s="28">
        <f>'4-15'!Q11</f>
        <v>16.350000000000001</v>
      </c>
      <c r="I11" s="53">
        <f>'4-22'!F11</f>
        <v>40733</v>
      </c>
      <c r="J11" s="54">
        <f t="shared" si="0"/>
        <v>0.18578165763596227</v>
      </c>
      <c r="K11" s="53">
        <f>AVERAGE('4-22'!F11-'4-21'!F11,'4-21'!F11-'4-20'!F11,'4-20'!F11-'4-19'!F11,'4-19'!F11-'4-18'!F11,'4-18'!F11-'4-17'!F11,'4-17'!F11-'4-16'!F11,'4-16'!F11-'4-15'!F11)</f>
        <v>624.14285714285711</v>
      </c>
      <c r="L11" s="55">
        <f t="shared" si="1"/>
        <v>287</v>
      </c>
      <c r="M11" s="51">
        <f t="shared" ca="1" si="2"/>
        <v>44602</v>
      </c>
    </row>
    <row r="12" spans="1:13" x14ac:dyDescent="0.25">
      <c r="A12" s="32">
        <v>11</v>
      </c>
      <c r="B12" s="32" t="s">
        <v>30</v>
      </c>
      <c r="C12" s="33">
        <v>384902</v>
      </c>
      <c r="D12" s="33">
        <v>16351772</v>
      </c>
      <c r="E12" s="34">
        <f>'4-22'!P12</f>
        <v>12.3</v>
      </c>
      <c r="F12" s="34">
        <v>16.5</v>
      </c>
      <c r="G12" s="34">
        <f>'4-15'!M12</f>
        <v>192.75</v>
      </c>
      <c r="H12" s="34">
        <f>'4-15'!Q12</f>
        <v>32.92</v>
      </c>
      <c r="I12" s="33">
        <f>'4-22'!F12</f>
        <v>123077</v>
      </c>
      <c r="J12" s="50">
        <f t="shared" si="0"/>
        <v>0.31976191342211785</v>
      </c>
      <c r="K12" s="33">
        <f>AVERAGE('4-22'!F12-'4-21'!F12,'4-21'!F12-'4-20'!F12,'4-20'!F12-'4-19'!F12,'4-19'!F12-'4-18'!F12,'4-18'!F12-'4-17'!F12,'4-17'!F12-'4-16'!F12,'4-16'!F12-'4-15'!F12)</f>
        <v>1774.2857142857142</v>
      </c>
      <c r="L12" s="34">
        <f t="shared" si="1"/>
        <v>148</v>
      </c>
      <c r="M12" s="52">
        <f t="shared" ca="1" si="2"/>
        <v>44463</v>
      </c>
    </row>
    <row r="13" spans="1:13" x14ac:dyDescent="0.25">
      <c r="A13" s="27">
        <v>12</v>
      </c>
      <c r="B13" s="27" t="s">
        <v>31</v>
      </c>
      <c r="C13" s="29">
        <v>71686</v>
      </c>
      <c r="D13" s="29">
        <v>2228549</v>
      </c>
      <c r="E13" s="28">
        <f>'4-22'!P13</f>
        <v>17.399999999999999</v>
      </c>
      <c r="F13" s="28">
        <v>12.4</v>
      </c>
      <c r="G13" s="28">
        <f>'4-15'!M13</f>
        <v>89.88</v>
      </c>
      <c r="H13" s="28">
        <f>'4-15'!Q13</f>
        <v>19.260000000000002</v>
      </c>
      <c r="I13" s="53">
        <f>'4-22'!F13</f>
        <v>12811</v>
      </c>
      <c r="J13" s="54">
        <f t="shared" si="0"/>
        <v>0.17870992941439054</v>
      </c>
      <c r="K13" s="53">
        <f>AVERAGE('4-22'!F13-'4-21'!F13,'4-21'!F13-'4-20'!F13,'4-20'!F13-'4-19'!F13,'4-19'!F13-'4-18'!F13,'4-18'!F13-'4-17'!F13,'4-17'!F13-'4-16'!F13,'4-16'!F13-'4-15'!F13)</f>
        <v>132.71428571428572</v>
      </c>
      <c r="L13" s="55">
        <f t="shared" si="1"/>
        <v>444</v>
      </c>
      <c r="M13" s="51">
        <f t="shared" ca="1" si="2"/>
        <v>44759</v>
      </c>
    </row>
    <row r="14" spans="1:13" x14ac:dyDescent="0.25">
      <c r="A14" s="32">
        <v>13</v>
      </c>
      <c r="B14" s="32" t="s">
        <v>32</v>
      </c>
      <c r="C14" s="33">
        <v>38001</v>
      </c>
      <c r="D14" s="33">
        <v>1014538</v>
      </c>
      <c r="E14" s="34">
        <f>'4-22'!P14</f>
        <v>28.5</v>
      </c>
      <c r="F14" s="34">
        <v>18.399999999999999</v>
      </c>
      <c r="G14" s="34">
        <f>'4-15'!M14</f>
        <v>59.68</v>
      </c>
      <c r="H14" s="34">
        <f>'4-15'!Q14</f>
        <v>22.52</v>
      </c>
      <c r="I14" s="33">
        <f>'4-22'!F14</f>
        <v>6213</v>
      </c>
      <c r="J14" s="50">
        <f t="shared" si="0"/>
        <v>0.16349569748164522</v>
      </c>
      <c r="K14" s="33">
        <f>AVERAGE('4-22'!F14-'4-21'!F14,'4-21'!F14-'4-20'!F14,'4-20'!F14-'4-19'!F14,'4-19'!F14-'4-18'!F14,'4-18'!F14-'4-17'!F14,'4-17'!F14-'4-16'!F14,'4-16'!F14-'4-15'!F14)</f>
        <v>98.142857142857139</v>
      </c>
      <c r="L14" s="34">
        <f t="shared" si="1"/>
        <v>324</v>
      </c>
      <c r="M14" s="52">
        <f t="shared" ca="1" si="2"/>
        <v>44639</v>
      </c>
    </row>
    <row r="15" spans="1:13" x14ac:dyDescent="0.25">
      <c r="A15" s="27">
        <v>14</v>
      </c>
      <c r="B15" s="27" t="s">
        <v>33</v>
      </c>
      <c r="C15" s="29">
        <v>16826</v>
      </c>
      <c r="D15" s="29">
        <v>289624</v>
      </c>
      <c r="E15" s="28">
        <f>'4-22'!P15</f>
        <v>23.1</v>
      </c>
      <c r="F15" s="28">
        <v>17.2</v>
      </c>
      <c r="G15" s="28">
        <f>'4-15'!M15</f>
        <v>23.86</v>
      </c>
      <c r="H15" s="28">
        <f>'4-15'!Q15</f>
        <v>23.68</v>
      </c>
      <c r="I15" s="53">
        <f>'4-22'!F15</f>
        <v>2543</v>
      </c>
      <c r="J15" s="54">
        <f t="shared" si="0"/>
        <v>0.1511351479852609</v>
      </c>
      <c r="K15" s="53">
        <f>AVERAGE('4-22'!F15-'4-21'!F15,'4-21'!F15-'4-20'!F15,'4-20'!F15-'4-19'!F15,'4-19'!F15-'4-18'!F15,'4-18'!F15-'4-17'!F15,'4-17'!F15-'4-16'!F15,'4-16'!F15-'4-15'!F15)</f>
        <v>28.142857142857142</v>
      </c>
      <c r="L15" s="55">
        <f t="shared" si="1"/>
        <v>508</v>
      </c>
      <c r="M15" s="51">
        <f t="shared" ca="1" si="2"/>
        <v>44823</v>
      </c>
    </row>
    <row r="16" spans="1:13" x14ac:dyDescent="0.25">
      <c r="A16" s="32">
        <v>15</v>
      </c>
      <c r="B16" s="32" t="s">
        <v>34</v>
      </c>
      <c r="C16" s="33">
        <v>957755</v>
      </c>
      <c r="D16" s="33">
        <v>60169891</v>
      </c>
      <c r="E16" s="34">
        <f>'4-22'!P16</f>
        <v>15.5</v>
      </c>
      <c r="F16" s="34">
        <v>12</v>
      </c>
      <c r="G16" s="34">
        <f>'4-15'!M16</f>
        <v>1255.8599999999999</v>
      </c>
      <c r="H16" s="34">
        <f>'4-15'!Q16</f>
        <v>14.47</v>
      </c>
      <c r="I16" s="33">
        <f>'4-22'!F16</f>
        <v>235811</v>
      </c>
      <c r="J16" s="50">
        <f t="shared" si="0"/>
        <v>0.24621223590584232</v>
      </c>
      <c r="K16" s="33">
        <f>AVERAGE('4-22'!F16-'4-21'!F16,'4-21'!F16-'4-20'!F16,'4-20'!F16-'4-19'!F16,'4-19'!F16-'4-18'!F16,'4-18'!F16-'4-17'!F16,'4-17'!F16-'4-16'!F16,'4-16'!F16-'4-15'!F16)</f>
        <v>3888.8571428571427</v>
      </c>
      <c r="L16" s="34">
        <f t="shared" si="1"/>
        <v>186</v>
      </c>
      <c r="M16" s="52">
        <f t="shared" ca="1" si="2"/>
        <v>44501</v>
      </c>
    </row>
    <row r="17" spans="1:13" x14ac:dyDescent="0.25">
      <c r="A17" s="27">
        <v>16</v>
      </c>
      <c r="B17" s="27" t="s">
        <v>35</v>
      </c>
      <c r="C17" s="29">
        <v>318316</v>
      </c>
      <c r="D17" s="29">
        <v>14931928</v>
      </c>
      <c r="E17" s="28">
        <f>'4-22'!P17</f>
        <v>13.9</v>
      </c>
      <c r="F17" s="28">
        <v>10.199999999999999</v>
      </c>
      <c r="G17" s="28">
        <f>'4-15'!M17</f>
        <v>484.52</v>
      </c>
      <c r="H17" s="28">
        <f>'4-15'!Q17</f>
        <v>17.14</v>
      </c>
      <c r="I17" s="53">
        <f>'4-22'!F17</f>
        <v>73014</v>
      </c>
      <c r="J17" s="54">
        <f t="shared" si="0"/>
        <v>0.22937584035989395</v>
      </c>
      <c r="K17" s="53">
        <f>AVERAGE('4-22'!F17-'4-21'!F17,'4-21'!F17-'4-20'!F17,'4-20'!F17-'4-19'!F17,'4-19'!F17-'4-18'!F17,'4-18'!F17-'4-17'!F17,'4-17'!F17-'4-16'!F17,'4-16'!F17-'4-15'!F17)</f>
        <v>1243.7142857142858</v>
      </c>
      <c r="L17" s="55">
        <f t="shared" si="1"/>
        <v>198</v>
      </c>
      <c r="M17" s="51">
        <f t="shared" ca="1" si="2"/>
        <v>44513</v>
      </c>
    </row>
    <row r="18" spans="1:13" x14ac:dyDescent="0.25">
      <c r="A18" s="32">
        <v>17</v>
      </c>
      <c r="B18" s="32" t="s">
        <v>36</v>
      </c>
      <c r="C18" s="33">
        <v>115081</v>
      </c>
      <c r="D18" s="33">
        <v>2221979</v>
      </c>
      <c r="E18" s="34">
        <f>'4-22'!P18</f>
        <v>11.9</v>
      </c>
      <c r="F18" s="34">
        <v>12.7</v>
      </c>
      <c r="G18" s="34">
        <f>'4-15'!M18</f>
        <v>237.21</v>
      </c>
      <c r="H18" s="34">
        <f>'4-15'!Q18</f>
        <v>31.19</v>
      </c>
      <c r="I18" s="33">
        <f>'4-22'!F18</f>
        <v>34614</v>
      </c>
      <c r="J18" s="50">
        <f t="shared" si="0"/>
        <v>0.30077945099538583</v>
      </c>
      <c r="K18" s="33">
        <f>AVERAGE('4-22'!F18-'4-21'!F18,'4-21'!F18-'4-20'!F18,'4-20'!F18-'4-19'!F18,'4-19'!F18-'4-18'!F18,'4-18'!F18-'4-17'!F18,'4-17'!F18-'4-16'!F18,'4-16'!F18-'4-15'!F18)</f>
        <v>406.85714285714283</v>
      </c>
      <c r="L18" s="34">
        <f t="shared" si="1"/>
        <v>198</v>
      </c>
      <c r="M18" s="52">
        <f t="shared" ca="1" si="2"/>
        <v>44513</v>
      </c>
    </row>
    <row r="19" spans="1:13" x14ac:dyDescent="0.25">
      <c r="A19" s="27">
        <v>18</v>
      </c>
      <c r="B19" s="27" t="s">
        <v>37</v>
      </c>
      <c r="C19" s="29">
        <v>12125</v>
      </c>
      <c r="D19" s="29">
        <v>381839</v>
      </c>
      <c r="E19" s="28">
        <f>'4-22'!P19</f>
        <v>20.7</v>
      </c>
      <c r="F19" s="28">
        <v>18.3</v>
      </c>
      <c r="G19" s="28">
        <f>'4-15'!M19</f>
        <v>22.24</v>
      </c>
      <c r="H19" s="28">
        <f>'4-15'!Q19</f>
        <v>24.13</v>
      </c>
      <c r="I19" s="53">
        <f>'4-22'!F19</f>
        <v>3015</v>
      </c>
      <c r="J19" s="54">
        <f t="shared" si="0"/>
        <v>0.24865979381443298</v>
      </c>
      <c r="K19" s="53">
        <f>AVERAGE('4-22'!F19-'4-21'!F19,'4-21'!F19-'4-20'!F19,'4-20'!F19-'4-19'!F19,'4-19'!F19-'4-18'!F19,'4-18'!F19-'4-17'!F19,'4-17'!F19-'4-16'!F19,'4-16'!F19-'4-15'!F19)</f>
        <v>23</v>
      </c>
      <c r="L19" s="55">
        <f t="shared" si="1"/>
        <v>397</v>
      </c>
      <c r="M19" s="51">
        <f t="shared" ca="1" si="2"/>
        <v>44712</v>
      </c>
    </row>
    <row r="20" spans="1:13" x14ac:dyDescent="0.25">
      <c r="A20" s="32">
        <v>19</v>
      </c>
      <c r="B20" s="32" t="s">
        <v>38</v>
      </c>
      <c r="C20" s="33">
        <v>45660</v>
      </c>
      <c r="D20" s="33">
        <v>1276171</v>
      </c>
      <c r="E20" s="34">
        <f>'4-22'!P20</f>
        <v>24.6</v>
      </c>
      <c r="F20" s="34">
        <v>14.9</v>
      </c>
      <c r="G20" s="34">
        <f>'4-15'!M20</f>
        <v>88.44</v>
      </c>
      <c r="H20" s="34">
        <f>'4-15'!Q20</f>
        <v>18.7</v>
      </c>
      <c r="I20" s="33">
        <f>'4-22'!F20</f>
        <v>11756</v>
      </c>
      <c r="J20" s="50">
        <f t="shared" si="0"/>
        <v>0.25746824353920278</v>
      </c>
      <c r="K20" s="33">
        <f>AVERAGE('4-22'!F20-'4-21'!F20,'4-21'!F20-'4-20'!F20,'4-20'!F20-'4-19'!F20,'4-19'!F20-'4-18'!F20,'4-18'!F20-'4-17'!F20,'4-17'!F20-'4-16'!F20,'4-16'!F20-'4-15'!F20)</f>
        <v>146.71428571428572</v>
      </c>
      <c r="L20" s="34">
        <f t="shared" si="1"/>
        <v>232</v>
      </c>
      <c r="M20" s="52">
        <f t="shared" ca="1" si="2"/>
        <v>44547</v>
      </c>
    </row>
    <row r="21" spans="1:13" x14ac:dyDescent="0.25">
      <c r="A21" s="27">
        <v>20</v>
      </c>
      <c r="B21" s="27" t="s">
        <v>39</v>
      </c>
      <c r="C21" s="29">
        <v>18582</v>
      </c>
      <c r="D21" s="29">
        <v>355242</v>
      </c>
      <c r="E21" s="28">
        <f>'4-22'!P21</f>
        <v>17.899999999999999</v>
      </c>
      <c r="F21" s="28">
        <v>18.100000000000001</v>
      </c>
      <c r="G21" s="28">
        <f>'4-15'!M21</f>
        <v>53.14</v>
      </c>
      <c r="H21" s="28">
        <f>'4-15'!Q21</f>
        <v>20.65</v>
      </c>
      <c r="I21" s="53">
        <f>'4-22'!F21</f>
        <v>2824</v>
      </c>
      <c r="J21" s="54">
        <f t="shared" si="0"/>
        <v>0.1519750295985362</v>
      </c>
      <c r="K21" s="53">
        <f>AVERAGE('4-22'!F21-'4-21'!F21,'4-21'!F21-'4-20'!F21,'4-20'!F21-'4-19'!F21,'4-19'!F21-'4-18'!F21,'4-18'!F21-'4-17'!F21,'4-17'!F21-'4-16'!F21,'4-16'!F21-'4-15'!F21)</f>
        <v>29.857142857142858</v>
      </c>
      <c r="L21" s="55">
        <f t="shared" si="1"/>
        <v>528</v>
      </c>
      <c r="M21" s="51">
        <f t="shared" ca="1" si="2"/>
        <v>44843</v>
      </c>
    </row>
    <row r="22" spans="1:13" x14ac:dyDescent="0.25">
      <c r="A22" s="32">
        <v>21</v>
      </c>
      <c r="B22" s="32" t="s">
        <v>40</v>
      </c>
      <c r="C22" s="33">
        <v>13811</v>
      </c>
      <c r="D22" s="33">
        <v>320686</v>
      </c>
      <c r="E22" s="34">
        <f>'4-22'!P22</f>
        <v>17</v>
      </c>
      <c r="F22" s="34">
        <v>19.899999999999999</v>
      </c>
      <c r="G22" s="34">
        <f>'4-15'!M22</f>
        <v>17.12</v>
      </c>
      <c r="H22" s="34">
        <f>'4-15'!Q22</f>
        <v>27.57</v>
      </c>
      <c r="I22" s="33">
        <f>'4-22'!F22</f>
        <v>1928</v>
      </c>
      <c r="J22" s="50">
        <f t="shared" si="0"/>
        <v>0.13959887046557093</v>
      </c>
      <c r="K22" s="33">
        <f>AVERAGE('4-22'!F22-'4-21'!F22,'4-21'!F22-'4-20'!F22,'4-20'!F22-'4-19'!F22,'4-19'!F22-'4-18'!F22,'4-18'!F22-'4-17'!F22,'4-17'!F22-'4-16'!F22,'4-16'!F22-'4-15'!F22)</f>
        <v>27</v>
      </c>
      <c r="L22" s="34">
        <f t="shared" si="1"/>
        <v>441</v>
      </c>
      <c r="M22" s="52">
        <f t="shared" ca="1" si="2"/>
        <v>44756</v>
      </c>
    </row>
    <row r="23" spans="1:13" x14ac:dyDescent="0.25">
      <c r="A23" s="27">
        <v>22</v>
      </c>
      <c r="B23" s="27" t="s">
        <v>41</v>
      </c>
      <c r="C23" s="29">
        <v>13639</v>
      </c>
      <c r="D23" s="29">
        <v>410310</v>
      </c>
      <c r="E23" s="28">
        <f>'4-22'!P23</f>
        <v>13.9</v>
      </c>
      <c r="F23" s="28">
        <v>11.4</v>
      </c>
      <c r="G23" s="28">
        <f>'4-15'!M23</f>
        <v>24.64</v>
      </c>
      <c r="H23" s="28">
        <f>'4-15'!Q23</f>
        <v>26.5</v>
      </c>
      <c r="I23" s="53">
        <f>'4-22'!F23</f>
        <v>3267</v>
      </c>
      <c r="J23" s="54">
        <f t="shared" si="0"/>
        <v>0.23953369015323703</v>
      </c>
      <c r="K23" s="53">
        <f>AVERAGE('4-22'!F23-'4-21'!F23,'4-21'!F23-'4-20'!F23,'4-20'!F23-'4-19'!F23,'4-19'!F23-'4-18'!F23,'4-18'!F23-'4-17'!F23,'4-17'!F23-'4-16'!F23,'4-16'!F23-'4-15'!F23)</f>
        <v>41.142857142857146</v>
      </c>
      <c r="L23" s="55">
        <f t="shared" si="1"/>
        <v>253</v>
      </c>
      <c r="M23" s="51">
        <f t="shared" ca="1" si="2"/>
        <v>44568</v>
      </c>
    </row>
    <row r="24" spans="1:13" x14ac:dyDescent="0.25">
      <c r="A24" s="32">
        <v>23</v>
      </c>
      <c r="B24" s="32" t="s">
        <v>42</v>
      </c>
      <c r="C24" s="33">
        <v>14428</v>
      </c>
      <c r="D24" s="33">
        <v>492817</v>
      </c>
      <c r="E24" s="34">
        <f>'4-22'!P24</f>
        <v>29.5</v>
      </c>
      <c r="F24" s="34">
        <v>14.3</v>
      </c>
      <c r="G24" s="34">
        <f>'4-15'!M24</f>
        <v>28.08</v>
      </c>
      <c r="H24" s="34">
        <f>'4-15'!Q24</f>
        <v>18.46</v>
      </c>
      <c r="I24" s="33">
        <f>'4-22'!F24</f>
        <v>2293</v>
      </c>
      <c r="J24" s="50">
        <f t="shared" si="0"/>
        <v>0.1589270862212365</v>
      </c>
      <c r="K24" s="33">
        <f>AVERAGE('4-22'!F24-'4-21'!F24,'4-21'!F24-'4-20'!F24,'4-20'!F24-'4-19'!F24,'4-19'!F24-'4-18'!F24,'4-18'!F24-'4-17'!F24,'4-17'!F24-'4-16'!F24,'4-16'!F24-'4-15'!F24)</f>
        <v>35.285714285714285</v>
      </c>
      <c r="L24" s="34">
        <f t="shared" si="1"/>
        <v>344</v>
      </c>
      <c r="M24" s="52">
        <f t="shared" ca="1" si="2"/>
        <v>44659</v>
      </c>
    </row>
    <row r="25" spans="1:13" x14ac:dyDescent="0.25">
      <c r="A25" s="27">
        <v>24</v>
      </c>
      <c r="B25" s="27" t="s">
        <v>43</v>
      </c>
      <c r="C25" s="29">
        <v>26937</v>
      </c>
      <c r="D25" s="29">
        <v>1023242</v>
      </c>
      <c r="E25" s="28">
        <f>'4-22'!P25</f>
        <v>26.7</v>
      </c>
      <c r="F25" s="28">
        <v>12.2</v>
      </c>
      <c r="G25" s="28">
        <f>'4-15'!M25</f>
        <v>42.25</v>
      </c>
      <c r="H25" s="28">
        <f>'4-15'!Q25</f>
        <v>17.43</v>
      </c>
      <c r="I25" s="53">
        <f>'4-22'!F25</f>
        <v>3285</v>
      </c>
      <c r="J25" s="54">
        <f t="shared" si="0"/>
        <v>0.12195121951219512</v>
      </c>
      <c r="K25" s="53">
        <f>AVERAGE('4-22'!F25-'4-21'!F25,'4-21'!F25-'4-20'!F25,'4-20'!F25-'4-19'!F25,'4-19'!F25-'4-18'!F25,'4-18'!F25-'4-17'!F25,'4-17'!F25-'4-16'!F25,'4-16'!F25-'4-15'!F25)</f>
        <v>55.142857142857146</v>
      </c>
      <c r="L25" s="55">
        <f t="shared" si="1"/>
        <v>429</v>
      </c>
      <c r="M25" s="51">
        <f t="shared" ca="1" si="2"/>
        <v>44744</v>
      </c>
    </row>
    <row r="26" spans="1:13" x14ac:dyDescent="0.25">
      <c r="A26" s="32">
        <v>25</v>
      </c>
      <c r="B26" s="32" t="s">
        <v>44</v>
      </c>
      <c r="C26" s="33">
        <v>42022</v>
      </c>
      <c r="D26" s="33">
        <v>1314540</v>
      </c>
      <c r="E26" s="34">
        <f>'4-22'!P26</f>
        <v>26.8</v>
      </c>
      <c r="F26" s="34">
        <v>26.2</v>
      </c>
      <c r="G26" s="34">
        <f>'4-15'!M26</f>
        <v>36.340000000000003</v>
      </c>
      <c r="H26" s="34">
        <f>'4-15'!Q26</f>
        <v>13.75</v>
      </c>
      <c r="I26" s="33">
        <f>'4-22'!F26</f>
        <v>6498</v>
      </c>
      <c r="J26" s="50">
        <f t="shared" si="0"/>
        <v>0.15463328732568654</v>
      </c>
      <c r="K26" s="33">
        <f>AVERAGE('4-22'!F26-'4-21'!F26,'4-21'!F26-'4-20'!F26,'4-20'!F26-'4-19'!F26,'4-19'!F26-'4-18'!F26,'4-18'!F26-'4-17'!F26,'4-17'!F26-'4-16'!F26,'4-16'!F26-'4-15'!F26)</f>
        <v>119.57142857142857</v>
      </c>
      <c r="L26" s="34">
        <f t="shared" si="1"/>
        <v>298</v>
      </c>
      <c r="M26" s="52">
        <f t="shared" ca="1" si="2"/>
        <v>44613</v>
      </c>
    </row>
    <row r="27" spans="1:13" x14ac:dyDescent="0.25">
      <c r="A27" s="27">
        <v>26</v>
      </c>
      <c r="B27" s="27" t="s">
        <v>45</v>
      </c>
      <c r="C27" s="29">
        <v>193920</v>
      </c>
      <c r="D27" s="29">
        <v>3971573</v>
      </c>
      <c r="E27" s="28">
        <f>'4-22'!P27</f>
        <v>14.3</v>
      </c>
      <c r="F27" s="28">
        <v>12.6</v>
      </c>
      <c r="G27" s="28">
        <f>'4-15'!M27</f>
        <v>410.01</v>
      </c>
      <c r="H27" s="28">
        <f>'4-15'!Q27</f>
        <v>27.51</v>
      </c>
      <c r="I27" s="53">
        <f>'4-22'!F27</f>
        <v>45410</v>
      </c>
      <c r="J27" s="54">
        <f t="shared" si="0"/>
        <v>0.23416872937293728</v>
      </c>
      <c r="K27" s="53">
        <f>AVERAGE('4-22'!F27-'4-21'!F27,'4-21'!F27-'4-20'!F27,'4-20'!F27-'4-19'!F27,'4-19'!F27-'4-18'!F27,'4-18'!F27-'4-17'!F27,'4-17'!F27-'4-16'!F27,'4-16'!F27-'4-15'!F27)</f>
        <v>716.42857142857144</v>
      </c>
      <c r="L27" s="55">
        <f t="shared" si="1"/>
        <v>208</v>
      </c>
      <c r="M27" s="51">
        <f t="shared" ca="1" si="2"/>
        <v>44523</v>
      </c>
    </row>
    <row r="28" spans="1:13" x14ac:dyDescent="0.25">
      <c r="A28" s="32">
        <v>27</v>
      </c>
      <c r="B28" s="32" t="s">
        <v>46</v>
      </c>
      <c r="C28" s="33">
        <v>106221</v>
      </c>
      <c r="D28" s="33">
        <v>2626612</v>
      </c>
      <c r="E28" s="34">
        <f>'4-22'!P28</f>
        <v>19.2</v>
      </c>
      <c r="F28" s="34">
        <v>12.7</v>
      </c>
      <c r="G28" s="34">
        <f>'4-15'!M28</f>
        <v>104.38</v>
      </c>
      <c r="H28" s="34">
        <f>'4-15'!Q28</f>
        <v>36.049999999999997</v>
      </c>
      <c r="I28" s="33">
        <f>'4-22'!F28</f>
        <v>25331</v>
      </c>
      <c r="J28" s="50">
        <f t="shared" si="0"/>
        <v>0.23847450127564229</v>
      </c>
      <c r="K28" s="33">
        <f>AVERAGE('4-22'!F28-'4-21'!F28,'4-21'!F28-'4-20'!F28,'4-20'!F28-'4-19'!F28,'4-19'!F28-'4-18'!F28,'4-18'!F28-'4-17'!F28,'4-17'!F28-'4-16'!F28,'4-16'!F28-'4-15'!F28)</f>
        <v>331.42857142857144</v>
      </c>
      <c r="L28" s="34">
        <f t="shared" si="1"/>
        <v>245</v>
      </c>
      <c r="M28" s="52">
        <f t="shared" ca="1" si="2"/>
        <v>44560</v>
      </c>
    </row>
    <row r="29" spans="1:13" x14ac:dyDescent="0.25">
      <c r="A29" s="27">
        <v>28</v>
      </c>
      <c r="B29" s="27" t="s">
        <v>47</v>
      </c>
      <c r="C29" s="29">
        <v>1471968</v>
      </c>
      <c r="D29" s="29">
        <v>84884933</v>
      </c>
      <c r="E29" s="28">
        <f>'4-22'!P29</f>
        <v>15.3</v>
      </c>
      <c r="F29" s="28">
        <v>13</v>
      </c>
      <c r="G29" s="28">
        <f>'4-15'!M29</f>
        <v>1440.39</v>
      </c>
      <c r="H29" s="28">
        <f>'4-15'!Q29</f>
        <v>14.54</v>
      </c>
      <c r="I29" s="53">
        <f>'4-22'!F29</f>
        <v>325442</v>
      </c>
      <c r="J29" s="54">
        <f t="shared" si="0"/>
        <v>0.22109312158959976</v>
      </c>
      <c r="K29" s="53">
        <f>AVERAGE('4-22'!F29-'4-21'!F29,'4-21'!F29-'4-20'!F29,'4-20'!F29-'4-19'!F29,'4-19'!F29-'4-18'!F29,'4-18'!F29-'4-17'!F29,'4-17'!F29-'4-16'!F29,'4-16'!F29-'4-15'!F29)</f>
        <v>6072.4285714285716</v>
      </c>
      <c r="L29" s="55">
        <f t="shared" si="1"/>
        <v>189</v>
      </c>
      <c r="M29" s="51">
        <f t="shared" ca="1" si="2"/>
        <v>44504</v>
      </c>
    </row>
    <row r="30" spans="1:13" x14ac:dyDescent="0.25">
      <c r="A30" s="32">
        <v>29</v>
      </c>
      <c r="B30" s="32" t="s">
        <v>48</v>
      </c>
      <c r="C30" s="33">
        <v>19617</v>
      </c>
      <c r="D30" s="33">
        <v>338550</v>
      </c>
      <c r="E30" s="34">
        <f>'4-22'!P30</f>
        <v>25.6</v>
      </c>
      <c r="F30" s="34">
        <v>18.899999999999999</v>
      </c>
      <c r="G30" s="34">
        <f>'4-15'!M30</f>
        <v>40.97</v>
      </c>
      <c r="H30" s="34">
        <f>'4-15'!Q30</f>
        <v>19.989999999999998</v>
      </c>
      <c r="I30" s="33">
        <f>'4-22'!F30</f>
        <v>2561</v>
      </c>
      <c r="J30" s="50">
        <f t="shared" si="0"/>
        <v>0.13055003313452618</v>
      </c>
      <c r="K30" s="33">
        <f>AVERAGE('4-22'!F30-'4-21'!F30,'4-21'!F30-'4-20'!F30,'4-20'!F30-'4-19'!F30,'4-19'!F30-'4-18'!F30,'4-18'!F30-'4-17'!F30,'4-17'!F30-'4-16'!F30,'4-16'!F30-'4-15'!F30)</f>
        <v>13.428571428571429</v>
      </c>
      <c r="L30" s="34">
        <f t="shared" si="1"/>
        <v>1271</v>
      </c>
      <c r="M30" s="52">
        <f t="shared" ca="1" si="2"/>
        <v>45586</v>
      </c>
    </row>
    <row r="31" spans="1:13" x14ac:dyDescent="0.25">
      <c r="A31" s="27">
        <v>30</v>
      </c>
      <c r="B31" s="27" t="s">
        <v>49</v>
      </c>
      <c r="C31" s="29">
        <v>159923</v>
      </c>
      <c r="D31" s="29">
        <v>5966999</v>
      </c>
      <c r="E31" s="28">
        <f>'4-22'!P31</f>
        <v>12.2</v>
      </c>
      <c r="F31" s="28">
        <v>12.1</v>
      </c>
      <c r="G31" s="28">
        <f>'4-15'!M31</f>
        <v>318.08</v>
      </c>
      <c r="H31" s="28">
        <f>'4-15'!Q31</f>
        <v>33.85</v>
      </c>
      <c r="I31" s="53">
        <f>'4-22'!F31</f>
        <v>48487</v>
      </c>
      <c r="J31" s="54">
        <f t="shared" si="0"/>
        <v>0.30318966002388648</v>
      </c>
      <c r="K31" s="53">
        <f>AVERAGE('4-22'!F31-'4-21'!F31,'4-21'!F31-'4-20'!F31,'4-20'!F31-'4-19'!F31,'4-19'!F31-'4-18'!F31,'4-18'!F31-'4-17'!F31,'4-17'!F31-'4-16'!F31,'4-16'!F31-'4-15'!F31)</f>
        <v>507</v>
      </c>
      <c r="L31" s="55">
        <f t="shared" si="1"/>
        <v>220</v>
      </c>
      <c r="M31" s="51">
        <f t="shared" ca="1" si="2"/>
        <v>44535</v>
      </c>
    </row>
    <row r="32" spans="1:13" x14ac:dyDescent="0.25">
      <c r="A32" s="32">
        <v>31</v>
      </c>
      <c r="B32" s="32" t="s">
        <v>50</v>
      </c>
      <c r="C32" s="33">
        <v>46414</v>
      </c>
      <c r="D32" s="33">
        <v>1408654</v>
      </c>
      <c r="E32" s="34">
        <f>'4-22'!P32</f>
        <v>20.6</v>
      </c>
      <c r="F32" s="34">
        <v>11.3</v>
      </c>
      <c r="G32" s="34">
        <f>'4-15'!M32</f>
        <v>50.55</v>
      </c>
      <c r="H32" s="34">
        <f>'4-15'!Q32</f>
        <v>20.62</v>
      </c>
      <c r="I32" s="33">
        <f>'4-22'!F32</f>
        <v>8687</v>
      </c>
      <c r="J32" s="50">
        <f t="shared" si="0"/>
        <v>0.18716335588400052</v>
      </c>
      <c r="K32" s="33">
        <f>AVERAGE('4-22'!F32-'4-21'!F32,'4-21'!F32-'4-20'!F32,'4-20'!F32-'4-19'!F32,'4-19'!F32-'4-18'!F32,'4-18'!F32-'4-17'!F32,'4-17'!F32-'4-16'!F32,'4-16'!F32-'4-15'!F32)</f>
        <v>57.428571428571431</v>
      </c>
      <c r="L32" s="34">
        <f t="shared" si="1"/>
        <v>657</v>
      </c>
      <c r="M32" s="52">
        <f t="shared" ca="1" si="2"/>
        <v>44972</v>
      </c>
    </row>
    <row r="33" spans="1:13" x14ac:dyDescent="0.25">
      <c r="A33" s="27">
        <v>32</v>
      </c>
      <c r="B33" s="27" t="s">
        <v>51</v>
      </c>
      <c r="C33" s="29">
        <v>14246</v>
      </c>
      <c r="D33" s="29">
        <v>293810</v>
      </c>
      <c r="E33" s="28">
        <f>'4-22'!P33</f>
        <v>14.1</v>
      </c>
      <c r="F33" s="28">
        <v>6.4</v>
      </c>
      <c r="G33" s="28">
        <f>'4-15'!M33</f>
        <v>23.82</v>
      </c>
      <c r="H33" s="28">
        <f>'4-15'!Q33</f>
        <v>24.65</v>
      </c>
      <c r="I33" s="53">
        <f>'4-22'!F33</f>
        <v>4484</v>
      </c>
      <c r="J33" s="54">
        <f t="shared" si="0"/>
        <v>0.31475501895268848</v>
      </c>
      <c r="K33" s="53">
        <f>AVERAGE('4-22'!F33-'4-21'!F33,'4-21'!F33-'4-20'!F33,'4-20'!F33-'4-19'!F33,'4-19'!F33-'4-18'!F33,'4-18'!F33-'4-17'!F33,'4-17'!F33-'4-16'!F33,'4-16'!F33-'4-15'!F33)</f>
        <v>37.571428571428569</v>
      </c>
      <c r="L33" s="55">
        <f t="shared" si="1"/>
        <v>260</v>
      </c>
      <c r="M33" s="51">
        <f t="shared" ca="1" si="2"/>
        <v>44575</v>
      </c>
    </row>
    <row r="34" spans="1:13" x14ac:dyDescent="0.25">
      <c r="A34" s="32">
        <v>33</v>
      </c>
      <c r="B34" s="32" t="s">
        <v>52</v>
      </c>
      <c r="C34" s="33">
        <v>8422</v>
      </c>
      <c r="D34" s="33">
        <v>171278</v>
      </c>
      <c r="E34" s="34">
        <f>'4-22'!P34</f>
        <v>20.100000000000001</v>
      </c>
      <c r="F34" s="34">
        <v>17.600000000000001</v>
      </c>
      <c r="G34" s="34">
        <f>'4-15'!M34</f>
        <v>15.5</v>
      </c>
      <c r="H34" s="34">
        <f>'4-15'!Q34</f>
        <v>17.28</v>
      </c>
      <c r="I34" s="33">
        <f>'4-22'!F34</f>
        <v>1351</v>
      </c>
      <c r="J34" s="50">
        <f t="shared" si="0"/>
        <v>0.16041320351460461</v>
      </c>
      <c r="K34" s="33">
        <f>AVERAGE('4-22'!F34-'4-21'!F34,'4-21'!F34-'4-20'!F34,'4-20'!F34-'4-19'!F34,'4-19'!F34-'4-18'!F34,'4-18'!F34-'4-17'!F34,'4-17'!F34-'4-16'!F34,'4-16'!F34-'4-15'!F34)</f>
        <v>10.428571428571429</v>
      </c>
      <c r="L34" s="34">
        <f t="shared" si="1"/>
        <v>679</v>
      </c>
      <c r="M34" s="52">
        <f t="shared" ca="1" si="2"/>
        <v>44994</v>
      </c>
    </row>
    <row r="35" spans="1:13" x14ac:dyDescent="0.25">
      <c r="A35" s="27">
        <v>34</v>
      </c>
      <c r="B35" s="27" t="s">
        <v>53</v>
      </c>
      <c r="C35" s="29">
        <v>367118</v>
      </c>
      <c r="D35" s="29">
        <v>8468770</v>
      </c>
      <c r="E35" s="28">
        <f>'4-22'!P35</f>
        <v>12.5</v>
      </c>
      <c r="F35" s="28">
        <v>11.6</v>
      </c>
      <c r="G35" s="28">
        <f>'4-15'!M35</f>
        <v>386.13</v>
      </c>
      <c r="H35" s="28">
        <f>'4-15'!Q35</f>
        <v>27.07</v>
      </c>
      <c r="I35" s="53">
        <f>'4-22'!F35</f>
        <v>112033</v>
      </c>
      <c r="J35" s="54">
        <f t="shared" si="0"/>
        <v>0.30516891026863296</v>
      </c>
      <c r="K35" s="53">
        <f>AVERAGE('4-22'!F35-'4-21'!F35,'4-21'!F35-'4-20'!F35,'4-20'!F35-'4-19'!F35,'4-19'!F35-'4-18'!F35,'4-18'!F35-'4-17'!F35,'4-17'!F35-'4-16'!F35,'4-16'!F35-'4-15'!F35)</f>
        <v>2107.7142857142858</v>
      </c>
      <c r="L35" s="55">
        <f t="shared" si="1"/>
        <v>122</v>
      </c>
      <c r="M35" s="51">
        <f t="shared" ca="1" si="2"/>
        <v>44437</v>
      </c>
    </row>
    <row r="36" spans="1:13" x14ac:dyDescent="0.25">
      <c r="A36" s="32">
        <v>35</v>
      </c>
      <c r="B36" s="32" t="s">
        <v>54</v>
      </c>
      <c r="C36" s="33">
        <v>770577</v>
      </c>
      <c r="D36" s="33">
        <v>28207575</v>
      </c>
      <c r="E36" s="34">
        <f>'4-22'!P36</f>
        <v>14</v>
      </c>
      <c r="F36" s="34">
        <v>14.3</v>
      </c>
      <c r="G36" s="34">
        <f>'4-15'!M36</f>
        <v>986.08</v>
      </c>
      <c r="H36" s="34">
        <f>'4-15'!Q36</f>
        <v>29.15</v>
      </c>
      <c r="I36" s="33">
        <f>'4-22'!F36</f>
        <v>199258</v>
      </c>
      <c r="J36" s="50">
        <f t="shared" si="0"/>
        <v>0.25858285414695742</v>
      </c>
      <c r="K36" s="33">
        <f>AVERAGE('4-22'!F36-'4-21'!F36,'4-21'!F36-'4-20'!F36,'4-20'!F36-'4-19'!F36,'4-19'!F36-'4-18'!F36,'4-18'!F36-'4-17'!F36,'4-17'!F36-'4-16'!F36,'4-16'!F36-'4-15'!F36)</f>
        <v>3879.5714285714284</v>
      </c>
      <c r="L36" s="34">
        <f t="shared" si="1"/>
        <v>148</v>
      </c>
      <c r="M36" s="52">
        <f t="shared" ca="1" si="2"/>
        <v>44463</v>
      </c>
    </row>
    <row r="37" spans="1:13" x14ac:dyDescent="0.25">
      <c r="A37" s="27">
        <v>36</v>
      </c>
      <c r="B37" s="27" t="s">
        <v>55</v>
      </c>
      <c r="C37" s="29">
        <v>293582</v>
      </c>
      <c r="D37" s="29">
        <v>14357206</v>
      </c>
      <c r="E37" s="28">
        <f>'4-22'!P37</f>
        <v>20.399999999999999</v>
      </c>
      <c r="F37" s="28">
        <v>8.1999999999999993</v>
      </c>
      <c r="G37" s="28">
        <f>'4-15'!M37</f>
        <v>440.23</v>
      </c>
      <c r="H37" s="28">
        <f>'4-15'!Q37</f>
        <v>13.89</v>
      </c>
      <c r="I37" s="53">
        <f>'4-22'!F37</f>
        <v>73172</v>
      </c>
      <c r="J37" s="54">
        <f t="shared" si="0"/>
        <v>0.24923871354510835</v>
      </c>
      <c r="K37" s="53">
        <f>AVERAGE('4-22'!F37-'4-21'!F37,'4-21'!F37-'4-20'!F37,'4-20'!F37-'4-19'!F37,'4-19'!F37-'4-18'!F37,'4-18'!F37-'4-17'!F37,'4-17'!F37-'4-16'!F37,'4-16'!F37-'4-15'!F37)</f>
        <v>1362.5714285714287</v>
      </c>
      <c r="L37" s="55">
        <f t="shared" si="1"/>
        <v>162</v>
      </c>
      <c r="M37" s="51">
        <f t="shared" ca="1" si="2"/>
        <v>44477</v>
      </c>
    </row>
    <row r="38" spans="1:13" x14ac:dyDescent="0.25">
      <c r="A38" s="32">
        <v>37</v>
      </c>
      <c r="B38" s="32" t="s">
        <v>56</v>
      </c>
      <c r="C38" s="33">
        <v>41503</v>
      </c>
      <c r="D38" s="33">
        <v>933042</v>
      </c>
      <c r="E38" s="34">
        <f>'4-22'!P38</f>
        <v>20.7</v>
      </c>
      <c r="F38" s="34">
        <v>15.5</v>
      </c>
      <c r="G38" s="34">
        <f>'4-15'!M38</f>
        <v>37.119999999999997</v>
      </c>
      <c r="H38" s="34">
        <f>'4-15'!Q38</f>
        <v>25.15</v>
      </c>
      <c r="I38" s="33">
        <f>'4-22'!F38</f>
        <v>8017</v>
      </c>
      <c r="J38" s="50">
        <f t="shared" si="0"/>
        <v>0.19316675902946776</v>
      </c>
      <c r="K38" s="33">
        <f>AVERAGE('4-22'!F38-'4-21'!F38,'4-21'!F38-'4-20'!F38,'4-20'!F38-'4-19'!F38,'4-19'!F38-'4-18'!F38,'4-18'!F38-'4-17'!F38,'4-17'!F38-'4-16'!F38,'4-16'!F38-'4-15'!F38)</f>
        <v>130.28571428571428</v>
      </c>
      <c r="L38" s="34">
        <f t="shared" si="1"/>
        <v>258</v>
      </c>
      <c r="M38" s="52">
        <f t="shared" ca="1" si="2"/>
        <v>44573</v>
      </c>
    </row>
    <row r="39" spans="1:13" x14ac:dyDescent="0.25">
      <c r="A39" s="27">
        <v>38</v>
      </c>
      <c r="B39" s="27" t="s">
        <v>57</v>
      </c>
      <c r="C39" s="29">
        <v>8354</v>
      </c>
      <c r="D39" s="29">
        <v>214226</v>
      </c>
      <c r="E39" s="28">
        <f>'4-22'!P39</f>
        <v>13</v>
      </c>
      <c r="F39" s="28">
        <v>18.5</v>
      </c>
      <c r="G39" s="28">
        <f>'4-15'!M39</f>
        <v>10</v>
      </c>
      <c r="H39" s="28">
        <f>'4-15'!Q39</f>
        <v>15.04</v>
      </c>
      <c r="I39" s="53">
        <f>'4-22'!F39</f>
        <v>1173</v>
      </c>
      <c r="J39" s="54">
        <f t="shared" si="0"/>
        <v>0.14041177878860425</v>
      </c>
      <c r="K39" s="53">
        <f>AVERAGE('4-22'!F39-'4-21'!F39,'4-21'!F39-'4-20'!F39,'4-20'!F39-'4-19'!F39,'4-19'!F39-'4-18'!F39,'4-18'!F39-'4-17'!F39,'4-17'!F39-'4-16'!F39,'4-16'!F39-'4-15'!F39)</f>
        <v>10.142857142857142</v>
      </c>
      <c r="L39" s="55">
        <f t="shared" si="1"/>
        <v>708</v>
      </c>
      <c r="M39" s="51">
        <f t="shared" ca="1" si="2"/>
        <v>45023</v>
      </c>
    </row>
    <row r="40" spans="1:13" x14ac:dyDescent="0.25">
      <c r="A40" s="32">
        <v>39</v>
      </c>
      <c r="B40" s="32" t="s">
        <v>58</v>
      </c>
      <c r="C40" s="33">
        <v>18493</v>
      </c>
      <c r="D40" s="33">
        <v>434847</v>
      </c>
      <c r="E40" s="34">
        <f>'4-22'!P40</f>
        <v>28.2</v>
      </c>
      <c r="F40" s="34">
        <v>13.1</v>
      </c>
      <c r="G40" s="34">
        <f>'4-15'!M40</f>
        <v>26.55</v>
      </c>
      <c r="H40" s="34">
        <f>'4-15'!Q40</f>
        <v>21.1</v>
      </c>
      <c r="I40" s="33">
        <f>'4-22'!F40</f>
        <v>3857</v>
      </c>
      <c r="J40" s="50">
        <f t="shared" si="0"/>
        <v>0.20856540312550695</v>
      </c>
      <c r="K40" s="33">
        <f>AVERAGE('4-22'!F40-'4-21'!F40,'4-21'!F40-'4-20'!F40,'4-20'!F40-'4-19'!F40,'4-19'!F40-'4-18'!F40,'4-18'!F40-'4-17'!F40,'4-17'!F40-'4-16'!F40,'4-16'!F40-'4-15'!F40)</f>
        <v>41.571428571428569</v>
      </c>
      <c r="L40" s="34">
        <f t="shared" si="1"/>
        <v>353</v>
      </c>
      <c r="M40" s="52">
        <f t="shared" ca="1" si="2"/>
        <v>44668</v>
      </c>
    </row>
    <row r="41" spans="1:13" x14ac:dyDescent="0.25">
      <c r="A41" s="27">
        <v>40</v>
      </c>
      <c r="B41" s="27" t="s">
        <v>59</v>
      </c>
      <c r="C41" s="29">
        <v>403253</v>
      </c>
      <c r="D41" s="29">
        <v>13354224</v>
      </c>
      <c r="E41" s="28">
        <f>'4-22'!P41</f>
        <v>12.5</v>
      </c>
      <c r="F41" s="28">
        <v>12.7</v>
      </c>
      <c r="G41" s="28">
        <f>'4-15'!M41</f>
        <v>542.28</v>
      </c>
      <c r="H41" s="28">
        <f>'4-15'!Q41</f>
        <v>28.06</v>
      </c>
      <c r="I41" s="53">
        <f>'4-22'!F41</f>
        <v>105285</v>
      </c>
      <c r="J41" s="54">
        <f t="shared" si="0"/>
        <v>0.26108919214488174</v>
      </c>
      <c r="K41" s="53">
        <f>AVERAGE('4-22'!F41-'4-21'!F41,'4-21'!F41-'4-20'!F41,'4-20'!F41-'4-19'!F41,'4-19'!F41-'4-18'!F41,'4-18'!F41-'4-17'!F41,'4-17'!F41-'4-16'!F41,'4-16'!F41-'4-15'!F41)</f>
        <v>1844.2857142857142</v>
      </c>
      <c r="L41" s="55">
        <f t="shared" si="1"/>
        <v>162</v>
      </c>
      <c r="M41" s="51">
        <f t="shared" ca="1" si="2"/>
        <v>44477</v>
      </c>
    </row>
    <row r="42" spans="1:13" x14ac:dyDescent="0.25">
      <c r="A42" s="32">
        <v>41</v>
      </c>
      <c r="B42" s="32" t="s">
        <v>60</v>
      </c>
      <c r="C42" s="33">
        <v>365579</v>
      </c>
      <c r="D42" s="33">
        <v>9331478</v>
      </c>
      <c r="E42" s="34">
        <f>'4-22'!P42</f>
        <v>16.600000000000001</v>
      </c>
      <c r="F42" s="34">
        <v>12.3</v>
      </c>
      <c r="G42" s="34">
        <f>'4-15'!M42</f>
        <v>230.15</v>
      </c>
      <c r="H42" s="34">
        <f>'4-15'!Q42</f>
        <v>29.18</v>
      </c>
      <c r="I42" s="33">
        <f>'4-22'!F42</f>
        <v>91745</v>
      </c>
      <c r="J42" s="50">
        <f t="shared" si="0"/>
        <v>0.25095806925452502</v>
      </c>
      <c r="K42" s="33">
        <f>AVERAGE('4-22'!F42-'4-21'!F42,'4-21'!F42-'4-20'!F42,'4-20'!F42-'4-19'!F42,'4-19'!F42-'4-18'!F42,'4-18'!F42-'4-17'!F42,'4-17'!F42-'4-16'!F42,'4-16'!F42-'4-15'!F42)</f>
        <v>1289.4285714285713</v>
      </c>
      <c r="L42" s="34">
        <f t="shared" si="1"/>
        <v>213</v>
      </c>
      <c r="M42" s="52">
        <f t="shared" ca="1" si="2"/>
        <v>44528</v>
      </c>
    </row>
    <row r="43" spans="1:13" x14ac:dyDescent="0.25">
      <c r="A43" s="27">
        <v>42</v>
      </c>
      <c r="B43" s="27" t="s">
        <v>61</v>
      </c>
      <c r="C43" s="29">
        <v>161000</v>
      </c>
      <c r="D43" s="29">
        <v>7113457</v>
      </c>
      <c r="E43" s="28">
        <f>'4-22'!P43</f>
        <v>10.5</v>
      </c>
      <c r="F43" s="28">
        <v>11.5</v>
      </c>
      <c r="G43" s="28">
        <f>'4-15'!M43</f>
        <v>296.05</v>
      </c>
      <c r="H43" s="28">
        <f>'4-15'!Q43</f>
        <v>31.53</v>
      </c>
      <c r="I43" s="53">
        <f>'4-22'!F43</f>
        <v>49073</v>
      </c>
      <c r="J43" s="54">
        <f t="shared" si="0"/>
        <v>0.30480124223602484</v>
      </c>
      <c r="K43" s="53">
        <f>AVERAGE('4-22'!F43-'4-21'!F43,'4-21'!F43-'4-20'!F43,'4-20'!F43-'4-19'!F43,'4-19'!F43-'4-18'!F43,'4-18'!F43-'4-17'!F43,'4-17'!F43-'4-16'!F43,'4-16'!F43-'4-15'!F43)</f>
        <v>526.71428571428567</v>
      </c>
      <c r="L43" s="55">
        <f t="shared" si="1"/>
        <v>213</v>
      </c>
      <c r="M43" s="51">
        <f t="shared" ca="1" si="2"/>
        <v>44528</v>
      </c>
    </row>
    <row r="44" spans="1:13" x14ac:dyDescent="0.25">
      <c r="A44" s="32">
        <v>43</v>
      </c>
      <c r="B44" s="32" t="s">
        <v>62</v>
      </c>
      <c r="C44" s="33">
        <v>2716940</v>
      </c>
      <c r="D44" s="33">
        <v>151587328</v>
      </c>
      <c r="E44" s="34">
        <f>'4-22'!P44</f>
        <v>18</v>
      </c>
      <c r="F44" s="34">
        <v>18.100000000000001</v>
      </c>
      <c r="G44" s="34">
        <f>'4-15'!M44</f>
        <v>1430.09</v>
      </c>
      <c r="H44" s="34">
        <f>'4-15'!Q44</f>
        <v>16.66</v>
      </c>
      <c r="I44" s="33">
        <f>'4-22'!F44</f>
        <v>710221</v>
      </c>
      <c r="J44" s="50">
        <f t="shared" si="0"/>
        <v>0.26140474209956788</v>
      </c>
      <c r="K44" s="33">
        <f>AVERAGE('4-22'!F44-'4-21'!F44,'4-21'!F44-'4-20'!F44,'4-20'!F44-'4-19'!F44,'4-19'!F44-'4-18'!F44,'4-18'!F44-'4-17'!F44,'4-17'!F44-'4-16'!F44,'4-16'!F44-'4-15'!F44)</f>
        <v>12476.428571428571</v>
      </c>
      <c r="L44" s="34">
        <f t="shared" si="1"/>
        <v>161</v>
      </c>
      <c r="M44" s="52">
        <f t="shared" ca="1" si="2"/>
        <v>44476</v>
      </c>
    </row>
    <row r="45" spans="1:13" x14ac:dyDescent="0.25">
      <c r="A45" s="27">
        <v>44</v>
      </c>
      <c r="B45" s="27" t="s">
        <v>63</v>
      </c>
      <c r="C45" s="29">
        <v>74228</v>
      </c>
      <c r="D45" s="29">
        <v>4523546</v>
      </c>
      <c r="E45" s="28">
        <f>'4-22'!P45</f>
        <v>11.8</v>
      </c>
      <c r="F45" s="28">
        <v>17.8</v>
      </c>
      <c r="G45" s="28">
        <f>'4-15'!M45</f>
        <v>75.510000000000005</v>
      </c>
      <c r="H45" s="28">
        <f>'4-15'!Q45</f>
        <v>23.75</v>
      </c>
      <c r="I45" s="53">
        <f>'4-22'!F45</f>
        <v>22707</v>
      </c>
      <c r="J45" s="54">
        <f t="shared" si="0"/>
        <v>0.30590882146898746</v>
      </c>
      <c r="K45" s="53">
        <f>AVERAGE('4-22'!F45-'4-21'!F45,'4-21'!F45-'4-20'!F45,'4-20'!F45-'4-19'!F45,'4-19'!F45-'4-18'!F45,'4-18'!F45-'4-17'!F45,'4-17'!F45-'4-16'!F45,'4-16'!F45-'4-15'!F45)</f>
        <v>423.85714285714283</v>
      </c>
      <c r="L45" s="55">
        <f t="shared" si="1"/>
        <v>122</v>
      </c>
      <c r="M45" s="51">
        <f t="shared" ca="1" si="2"/>
        <v>44437</v>
      </c>
    </row>
    <row r="46" spans="1:13" x14ac:dyDescent="0.25">
      <c r="A46" s="32">
        <v>45</v>
      </c>
      <c r="B46" s="32" t="s">
        <v>64</v>
      </c>
      <c r="C46" s="33">
        <v>88625</v>
      </c>
      <c r="D46" s="33">
        <v>2397438</v>
      </c>
      <c r="E46" s="34">
        <f>'4-22'!P46</f>
        <v>10.199999999999999</v>
      </c>
      <c r="F46" s="34">
        <v>11</v>
      </c>
      <c r="G46" s="34">
        <f>'4-15'!M46</f>
        <v>136.62</v>
      </c>
      <c r="H46" s="34">
        <f>'4-15'!Q46</f>
        <v>22.83</v>
      </c>
      <c r="I46" s="33">
        <f>'4-22'!F46</f>
        <v>25969</v>
      </c>
      <c r="J46" s="50">
        <f t="shared" si="0"/>
        <v>0.29302115655853317</v>
      </c>
      <c r="K46" s="33">
        <f>AVERAGE('4-22'!F46-'4-21'!F46,'4-21'!F46-'4-20'!F46,'4-20'!F46-'4-19'!F46,'4-19'!F46-'4-18'!F46,'4-18'!F46-'4-17'!F46,'4-17'!F46-'4-16'!F46,'4-16'!F46-'4-15'!F46)</f>
        <v>317.14285714285717</v>
      </c>
      <c r="L46" s="34">
        <f t="shared" si="1"/>
        <v>198</v>
      </c>
      <c r="M46" s="52">
        <f t="shared" ca="1" si="2"/>
        <v>44513</v>
      </c>
    </row>
    <row r="47" spans="1:13" x14ac:dyDescent="0.25">
      <c r="A47" s="27">
        <v>46</v>
      </c>
      <c r="B47" s="27" t="s">
        <v>65</v>
      </c>
      <c r="C47" s="29">
        <v>210738</v>
      </c>
      <c r="D47" s="29">
        <v>11156453</v>
      </c>
      <c r="E47" s="28">
        <f>'4-22'!P47</f>
        <v>11.5</v>
      </c>
      <c r="F47" s="28">
        <v>12.2</v>
      </c>
      <c r="G47" s="28">
        <f>'4-15'!M47</f>
        <v>226.55</v>
      </c>
      <c r="H47" s="28">
        <f>'4-15'!Q47</f>
        <v>16.309999999999999</v>
      </c>
      <c r="I47" s="53">
        <f>'4-22'!F47</f>
        <v>46439</v>
      </c>
      <c r="J47" s="54">
        <f t="shared" si="0"/>
        <v>0.22036367432546575</v>
      </c>
      <c r="K47" s="53">
        <f>AVERAGE('4-22'!F47-'4-21'!F47,'4-21'!F47-'4-20'!F47,'4-20'!F47-'4-19'!F47,'4-19'!F47-'4-18'!F47,'4-18'!F47-'4-17'!F47,'4-17'!F47-'4-16'!F47,'4-16'!F47-'4-15'!F47)</f>
        <v>585.42857142857144</v>
      </c>
      <c r="L47" s="55">
        <f t="shared" si="1"/>
        <v>281</v>
      </c>
      <c r="M47" s="51">
        <f t="shared" ca="1" si="2"/>
        <v>44596</v>
      </c>
    </row>
    <row r="48" spans="1:13" x14ac:dyDescent="0.25">
      <c r="A48" s="32">
        <v>47</v>
      </c>
      <c r="B48" s="32" t="s">
        <v>66</v>
      </c>
      <c r="C48" s="33">
        <v>42168</v>
      </c>
      <c r="D48" s="33">
        <v>1577307</v>
      </c>
      <c r="E48" s="34">
        <f>'4-22'!P48</f>
        <v>22.7</v>
      </c>
      <c r="F48" s="34">
        <v>18.100000000000001</v>
      </c>
      <c r="G48" s="34">
        <f>'4-15'!M48</f>
        <v>54.82</v>
      </c>
      <c r="H48" s="34">
        <f>'4-15'!Q48</f>
        <v>20.12</v>
      </c>
      <c r="I48" s="33">
        <f>'4-22'!F48</f>
        <v>7281</v>
      </c>
      <c r="J48" s="50">
        <f t="shared" si="0"/>
        <v>0.17266647694934548</v>
      </c>
      <c r="K48" s="33">
        <f>AVERAGE('4-22'!F48-'4-21'!F48,'4-21'!F48-'4-20'!F48,'4-20'!F48-'4-19'!F48,'4-19'!F48-'4-18'!F48,'4-18'!F48-'4-17'!F48,'4-17'!F48-'4-16'!F48,'4-16'!F48-'4-15'!F48)</f>
        <v>113.85714285714286</v>
      </c>
      <c r="L48" s="34">
        <f t="shared" si="1"/>
        <v>307</v>
      </c>
      <c r="M48" s="52">
        <f t="shared" ca="1" si="2"/>
        <v>44622</v>
      </c>
    </row>
    <row r="49" spans="1:13" x14ac:dyDescent="0.25">
      <c r="A49" s="27">
        <v>48</v>
      </c>
      <c r="B49" s="27" t="s">
        <v>67</v>
      </c>
      <c r="C49" s="29">
        <v>1393452</v>
      </c>
      <c r="D49" s="29">
        <v>90245169</v>
      </c>
      <c r="E49" s="28">
        <f>'4-22'!P49</f>
        <v>16.100000000000001</v>
      </c>
      <c r="F49" s="28">
        <v>14.5</v>
      </c>
      <c r="G49" s="28">
        <f>'4-15'!M49</f>
        <v>1545.08</v>
      </c>
      <c r="H49" s="28">
        <f>'4-15'!Q49</f>
        <v>12.31</v>
      </c>
      <c r="I49" s="53">
        <f>'4-22'!F49</f>
        <v>313063</v>
      </c>
      <c r="J49" s="54">
        <f t="shared" si="0"/>
        <v>0.22466722929817459</v>
      </c>
      <c r="K49" s="53">
        <f>AVERAGE('4-22'!F49-'4-21'!F49,'4-21'!F49-'4-20'!F49,'4-20'!F49-'4-19'!F49,'4-19'!F49-'4-18'!F49,'4-18'!F49-'4-17'!F49,'4-17'!F49-'4-16'!F49,'4-16'!F49-'4-15'!F49)</f>
        <v>5732.5714285714284</v>
      </c>
      <c r="L49" s="55">
        <f t="shared" si="1"/>
        <v>189</v>
      </c>
      <c r="M49" s="51">
        <f t="shared" ca="1" si="2"/>
        <v>44504</v>
      </c>
    </row>
    <row r="50" spans="1:13" x14ac:dyDescent="0.25">
      <c r="A50" s="32">
        <v>49</v>
      </c>
      <c r="B50" s="32" t="s">
        <v>68</v>
      </c>
      <c r="C50" s="33">
        <v>375751</v>
      </c>
      <c r="D50" s="33">
        <v>9053658</v>
      </c>
      <c r="E50" s="34">
        <f>'4-22'!P50</f>
        <v>16.3</v>
      </c>
      <c r="F50" s="34">
        <v>15.8</v>
      </c>
      <c r="G50" s="34">
        <f>'4-15'!M50</f>
        <v>283.04000000000002</v>
      </c>
      <c r="H50" s="34">
        <f>'4-15'!Q50</f>
        <v>13.52</v>
      </c>
      <c r="I50" s="33">
        <f>'4-22'!F50</f>
        <v>75702</v>
      </c>
      <c r="J50" s="50">
        <f t="shared" si="0"/>
        <v>0.20146852569919974</v>
      </c>
      <c r="K50" s="33">
        <f>AVERAGE('4-22'!F50-'4-21'!F50,'4-21'!F50-'4-20'!F50,'4-20'!F50-'4-19'!F50,'4-19'!F50-'4-18'!F50,'4-18'!F50-'4-17'!F50,'4-17'!F50-'4-16'!F50,'4-16'!F50-'4-15'!F50)</f>
        <v>1556.8571428571429</v>
      </c>
      <c r="L50" s="34">
        <f t="shared" si="1"/>
        <v>193</v>
      </c>
      <c r="M50" s="52">
        <f t="shared" ca="1" si="2"/>
        <v>44508</v>
      </c>
    </row>
    <row r="51" spans="1:13" x14ac:dyDescent="0.25">
      <c r="A51" s="27">
        <v>50</v>
      </c>
      <c r="B51" s="27" t="s">
        <v>69</v>
      </c>
      <c r="C51" s="29">
        <v>1496770</v>
      </c>
      <c r="D51" s="29">
        <v>75635325</v>
      </c>
      <c r="E51" s="28">
        <f>'4-22'!P51</f>
        <v>12.8</v>
      </c>
      <c r="F51" s="28">
        <v>13.6</v>
      </c>
      <c r="G51" s="28">
        <f>'4-15'!M51</f>
        <v>761.99</v>
      </c>
      <c r="H51" s="28">
        <f>'4-15'!Q51</f>
        <v>24.36</v>
      </c>
      <c r="I51" s="53">
        <f>'4-22'!F51</f>
        <v>398364</v>
      </c>
      <c r="J51" s="54">
        <f t="shared" si="0"/>
        <v>0.266149107745345</v>
      </c>
      <c r="K51" s="53">
        <f>AVERAGE('4-22'!F51-'4-21'!F51,'4-21'!F51-'4-20'!F51,'4-20'!F51-'4-19'!F51,'4-19'!F51-'4-18'!F51,'4-18'!F51-'4-17'!F51,'4-17'!F51-'4-16'!F51,'4-16'!F51-'4-15'!F51)</f>
        <v>5244</v>
      </c>
      <c r="L51" s="55">
        <f t="shared" si="1"/>
        <v>210</v>
      </c>
      <c r="M51" s="51">
        <f t="shared" ca="1" si="2"/>
        <v>44525</v>
      </c>
    </row>
    <row r="52" spans="1:13" x14ac:dyDescent="0.25">
      <c r="A52" s="32">
        <v>51</v>
      </c>
      <c r="B52" s="32" t="s">
        <v>70</v>
      </c>
      <c r="C52" s="33">
        <v>553947</v>
      </c>
      <c r="D52" s="33">
        <v>11638076</v>
      </c>
      <c r="E52" s="34">
        <f>'4-22'!P52</f>
        <v>13.5</v>
      </c>
      <c r="F52" s="34">
        <v>11.8</v>
      </c>
      <c r="G52" s="34">
        <f>'4-15'!M52</f>
        <v>741.98</v>
      </c>
      <c r="H52" s="34">
        <f>'4-15'!Q52</f>
        <v>22.65</v>
      </c>
      <c r="I52" s="33">
        <f>'4-22'!F52</f>
        <v>126678</v>
      </c>
      <c r="J52" s="50">
        <f t="shared" si="0"/>
        <v>0.22868252738980444</v>
      </c>
      <c r="K52" s="33">
        <f>AVERAGE('4-22'!F52-'4-21'!F52,'4-21'!F52-'4-20'!F52,'4-20'!F52-'4-19'!F52,'4-19'!F52-'4-18'!F52,'4-18'!F52-'4-17'!F52,'4-17'!F52-'4-16'!F52,'4-16'!F52-'4-15'!F52)</f>
        <v>2091.7142857142858</v>
      </c>
      <c r="L52" s="34">
        <f t="shared" si="1"/>
        <v>205</v>
      </c>
      <c r="M52" s="52">
        <f t="shared" ca="1" si="2"/>
        <v>44520</v>
      </c>
    </row>
    <row r="53" spans="1:13" x14ac:dyDescent="0.25">
      <c r="A53" s="27">
        <v>52</v>
      </c>
      <c r="B53" s="27" t="s">
        <v>71</v>
      </c>
      <c r="C53" s="29">
        <v>974996</v>
      </c>
      <c r="D53" s="29">
        <v>47873967</v>
      </c>
      <c r="E53" s="28">
        <f>'4-22'!P53</f>
        <v>13</v>
      </c>
      <c r="F53" s="28">
        <v>11.5</v>
      </c>
      <c r="G53" s="28">
        <f>'4-15'!M53</f>
        <v>3561.28</v>
      </c>
      <c r="H53" s="28">
        <f>'4-15'!Q53</f>
        <v>25.4</v>
      </c>
      <c r="I53" s="53">
        <f>'4-22'!F53</f>
        <v>285066</v>
      </c>
      <c r="J53" s="54">
        <f t="shared" si="0"/>
        <v>0.29237658410906303</v>
      </c>
      <c r="K53" s="53">
        <f>AVERAGE('4-22'!F53-'4-21'!F53,'4-21'!F53-'4-20'!F53,'4-20'!F53-'4-19'!F53,'4-19'!F53-'4-18'!F53,'4-18'!F53-'4-17'!F53,'4-17'!F53-'4-16'!F53,'4-16'!F53-'4-15'!F53)</f>
        <v>5242.8571428571431</v>
      </c>
      <c r="L53" s="55">
        <f t="shared" si="1"/>
        <v>132</v>
      </c>
      <c r="M53" s="51">
        <f t="shared" ca="1" si="2"/>
        <v>44447</v>
      </c>
    </row>
    <row r="54" spans="1:13" x14ac:dyDescent="0.25">
      <c r="A54" s="32">
        <v>53</v>
      </c>
      <c r="B54" s="32" t="s">
        <v>72</v>
      </c>
      <c r="C54" s="33">
        <v>724777</v>
      </c>
      <c r="D54" s="33">
        <v>24837880</v>
      </c>
      <c r="E54" s="34">
        <f>'4-22'!P54</f>
        <v>16.600000000000001</v>
      </c>
      <c r="F54" s="34">
        <v>13.2</v>
      </c>
      <c r="G54" s="34">
        <f>'4-15'!M54</f>
        <v>403.21</v>
      </c>
      <c r="H54" s="34">
        <f>'4-15'!Q54</f>
        <v>20.440000000000001</v>
      </c>
      <c r="I54" s="33">
        <f>'4-22'!F54</f>
        <v>142776</v>
      </c>
      <c r="J54" s="50">
        <f t="shared" si="0"/>
        <v>0.19699300612464249</v>
      </c>
      <c r="K54" s="33">
        <f>AVERAGE('4-22'!F54-'4-21'!F54,'4-21'!F54-'4-20'!F54,'4-20'!F54-'4-19'!F54,'4-19'!F54-'4-18'!F54,'4-18'!F54-'4-17'!F54,'4-17'!F54-'4-16'!F54,'4-16'!F54-'4-15'!F54)</f>
        <v>2410.1428571428573</v>
      </c>
      <c r="L54" s="34">
        <f t="shared" si="1"/>
        <v>242</v>
      </c>
      <c r="M54" s="52">
        <f t="shared" ca="1" si="2"/>
        <v>44557</v>
      </c>
    </row>
    <row r="55" spans="1:13" x14ac:dyDescent="0.25">
      <c r="A55" s="27">
        <v>54</v>
      </c>
      <c r="B55" s="27" t="s">
        <v>73</v>
      </c>
      <c r="C55" s="29">
        <v>74521</v>
      </c>
      <c r="D55" s="29">
        <v>2066592</v>
      </c>
      <c r="E55" s="28">
        <f>'4-22'!P55</f>
        <v>24.8</v>
      </c>
      <c r="F55" s="28">
        <v>16</v>
      </c>
      <c r="G55" s="28">
        <f>'4-15'!M55</f>
        <v>102.38</v>
      </c>
      <c r="H55" s="28">
        <f>'4-15'!Q55</f>
        <v>23.72</v>
      </c>
      <c r="I55" s="53">
        <f>'4-22'!F55</f>
        <v>12086</v>
      </c>
      <c r="J55" s="54">
        <f t="shared" si="0"/>
        <v>0.16218247205485703</v>
      </c>
      <c r="K55" s="53">
        <f>AVERAGE('4-22'!F55-'4-21'!F55,'4-21'!F55-'4-20'!F55,'4-20'!F55-'4-19'!F55,'4-19'!F55-'4-18'!F55,'4-18'!F55-'4-17'!F55,'4-17'!F55-'4-16'!F55,'4-16'!F55-'4-15'!F55)</f>
        <v>195.85714285714286</v>
      </c>
      <c r="L55" s="55">
        <f t="shared" si="1"/>
        <v>319</v>
      </c>
      <c r="M55" s="51">
        <f t="shared" ca="1" si="2"/>
        <v>44634</v>
      </c>
    </row>
    <row r="56" spans="1:13" x14ac:dyDescent="0.25">
      <c r="A56" s="32">
        <v>55</v>
      </c>
      <c r="B56" s="32" t="s">
        <v>74</v>
      </c>
      <c r="C56" s="33">
        <v>184313</v>
      </c>
      <c r="D56" s="33">
        <v>7778133</v>
      </c>
      <c r="E56" s="34">
        <f>'4-22'!P56</f>
        <v>9.8000000000000007</v>
      </c>
      <c r="F56" s="34">
        <v>10</v>
      </c>
      <c r="G56" s="34">
        <f>'4-15'!M56</f>
        <v>182.06</v>
      </c>
      <c r="H56" s="34">
        <f>'4-15'!Q56</f>
        <v>16.34</v>
      </c>
      <c r="I56" s="33">
        <f>'4-22'!F56</f>
        <v>36372</v>
      </c>
      <c r="J56" s="50">
        <f t="shared" si="0"/>
        <v>0.19733822356534808</v>
      </c>
      <c r="K56" s="33">
        <f>AVERAGE('4-22'!F56-'4-21'!F56,'4-21'!F56-'4-20'!F56,'4-20'!F56-'4-19'!F56,'4-19'!F56-'4-18'!F56,'4-18'!F56-'4-17'!F56,'4-17'!F56-'4-16'!F56,'4-16'!F56-'4-15'!F56)</f>
        <v>517.28571428571433</v>
      </c>
      <c r="L56" s="34">
        <f t="shared" si="1"/>
        <v>286</v>
      </c>
      <c r="M56" s="52">
        <f t="shared" ca="1" si="2"/>
        <v>44601</v>
      </c>
    </row>
    <row r="57" spans="1:13" x14ac:dyDescent="0.25">
      <c r="A57" s="27">
        <v>56</v>
      </c>
      <c r="B57" s="27" t="s">
        <v>75</v>
      </c>
      <c r="C57" s="29">
        <v>433742</v>
      </c>
      <c r="D57" s="29">
        <v>8431479</v>
      </c>
      <c r="E57" s="28">
        <f>'4-22'!P57</f>
        <v>9.6999999999999993</v>
      </c>
      <c r="F57" s="28">
        <v>11.4</v>
      </c>
      <c r="G57" s="28">
        <f>'4-15'!M57</f>
        <v>780.13</v>
      </c>
      <c r="H57" s="28">
        <f>'4-15'!Q57</f>
        <v>37.340000000000003</v>
      </c>
      <c r="I57" s="53">
        <f>'4-22'!F57</f>
        <v>150100</v>
      </c>
      <c r="J57" s="54">
        <f t="shared" si="0"/>
        <v>0.34605825582950234</v>
      </c>
      <c r="K57" s="53">
        <f>AVERAGE('4-22'!F57-'4-21'!F57,'4-21'!F57-'4-20'!F57,'4-20'!F57-'4-19'!F57,'4-19'!F57-'4-18'!F57,'4-18'!F57-'4-17'!F57,'4-17'!F57-'4-16'!F57,'4-16'!F57-'4-15'!F57)</f>
        <v>2346.5714285714284</v>
      </c>
      <c r="L57" s="55">
        <f t="shared" si="1"/>
        <v>121</v>
      </c>
      <c r="M57" s="51">
        <f t="shared" ca="1" si="2"/>
        <v>44436</v>
      </c>
    </row>
    <row r="58" spans="1:13" x14ac:dyDescent="0.25">
      <c r="A58" s="32">
        <v>57</v>
      </c>
      <c r="B58" s="32" t="s">
        <v>76</v>
      </c>
      <c r="C58" s="33">
        <v>471826</v>
      </c>
      <c r="D58" s="33">
        <v>4137020</v>
      </c>
      <c r="E58" s="34">
        <f>'4-22'!P58</f>
        <v>11.4</v>
      </c>
      <c r="F58" s="34">
        <v>10.4</v>
      </c>
      <c r="G58" s="34">
        <f>'4-15'!M58</f>
        <v>1525.34</v>
      </c>
      <c r="H58" s="34">
        <f>'4-15'!Q58</f>
        <v>15.98</v>
      </c>
      <c r="I58" s="33">
        <f>'4-22'!F58</f>
        <v>103231</v>
      </c>
      <c r="J58" s="50">
        <f t="shared" si="0"/>
        <v>0.21879040154633275</v>
      </c>
      <c r="K58" s="33">
        <f>AVERAGE('4-22'!F58-'4-21'!F58,'4-21'!F58-'4-20'!F58,'4-20'!F58-'4-19'!F58,'4-19'!F58-'4-18'!F58,'4-18'!F58-'4-17'!F58,'4-17'!F58-'4-16'!F58,'4-16'!F58-'4-15'!F58)</f>
        <v>1787.4285714285713</v>
      </c>
      <c r="L58" s="34">
        <f t="shared" si="1"/>
        <v>207</v>
      </c>
      <c r="M58" s="52">
        <f t="shared" ca="1" si="2"/>
        <v>44522</v>
      </c>
    </row>
    <row r="59" spans="1:13" x14ac:dyDescent="0.25">
      <c r="A59" s="27">
        <v>58</v>
      </c>
      <c r="B59" s="27" t="s">
        <v>77</v>
      </c>
      <c r="C59" s="29">
        <v>264672</v>
      </c>
      <c r="D59" s="29">
        <v>18382610</v>
      </c>
      <c r="E59" s="28">
        <f>'4-22'!P59</f>
        <v>8.4</v>
      </c>
      <c r="F59" s="28">
        <v>8.4</v>
      </c>
      <c r="G59" s="28">
        <f>'4-15'!M59</f>
        <v>440.71</v>
      </c>
      <c r="H59" s="28">
        <f>'4-15'!Q59</f>
        <v>20.65</v>
      </c>
      <c r="I59" s="53">
        <f>'4-22'!F59</f>
        <v>87496</v>
      </c>
      <c r="J59" s="54">
        <f t="shared" si="0"/>
        <v>0.33058275903760126</v>
      </c>
      <c r="K59" s="53">
        <f>AVERAGE('4-22'!F59-'4-21'!F59,'4-21'!F59-'4-20'!F59,'4-20'!F59-'4-19'!F59,'4-19'!F59-'4-18'!F59,'4-18'!F59-'4-17'!F59,'4-17'!F59-'4-16'!F59,'4-16'!F59-'4-15'!F59)</f>
        <v>1311.2857142857142</v>
      </c>
      <c r="L59" s="55">
        <f t="shared" si="1"/>
        <v>136</v>
      </c>
      <c r="M59" s="51">
        <f t="shared" ca="1" si="2"/>
        <v>44451</v>
      </c>
    </row>
    <row r="60" spans="1:13" x14ac:dyDescent="0.25">
      <c r="A60" s="32">
        <v>59</v>
      </c>
      <c r="B60" s="32" t="s">
        <v>78</v>
      </c>
      <c r="C60" s="33">
        <v>328297</v>
      </c>
      <c r="D60" s="33">
        <v>20654326</v>
      </c>
      <c r="E60" s="34">
        <f>'4-22'!P60</f>
        <v>15</v>
      </c>
      <c r="F60" s="34">
        <v>14</v>
      </c>
      <c r="G60" s="34">
        <f>'4-15'!M60</f>
        <v>574.29999999999995</v>
      </c>
      <c r="H60" s="34">
        <f>'4-15'!Q60</f>
        <v>24.65</v>
      </c>
      <c r="I60" s="33">
        <f>'4-22'!F60</f>
        <v>72582</v>
      </c>
      <c r="J60" s="50">
        <f t="shared" si="0"/>
        <v>0.22108639433196162</v>
      </c>
      <c r="K60" s="33">
        <f>AVERAGE('4-22'!F60-'4-21'!F60,'4-21'!F60-'4-20'!F60,'4-20'!F60-'4-19'!F60,'4-19'!F60-'4-18'!F60,'4-18'!F60-'4-17'!F60,'4-17'!F60-'4-16'!F60,'4-16'!F60-'4-15'!F60)</f>
        <v>976.85714285714289</v>
      </c>
      <c r="L60" s="34">
        <f t="shared" si="1"/>
        <v>262</v>
      </c>
      <c r="M60" s="52">
        <f t="shared" ca="1" si="2"/>
        <v>44577</v>
      </c>
    </row>
    <row r="61" spans="1:13" x14ac:dyDescent="0.25">
      <c r="A61" s="27">
        <v>60</v>
      </c>
      <c r="B61" s="27" t="s">
        <v>79</v>
      </c>
      <c r="C61" s="29">
        <v>132420</v>
      </c>
      <c r="D61" s="29">
        <v>2690053</v>
      </c>
      <c r="E61" s="28">
        <f>'4-22'!P61</f>
        <v>8.8000000000000007</v>
      </c>
      <c r="F61" s="28">
        <v>6.2</v>
      </c>
      <c r="G61" s="28">
        <f>'4-15'!M61</f>
        <v>237.68</v>
      </c>
      <c r="H61" s="28">
        <f>'4-15'!Q61</f>
        <v>58.17</v>
      </c>
      <c r="I61" s="53">
        <f>'4-22'!F61</f>
        <v>71760</v>
      </c>
      <c r="J61" s="54">
        <f t="shared" si="0"/>
        <v>0.54191209787041228</v>
      </c>
      <c r="K61" s="53">
        <f>AVERAGE('4-22'!F61-'4-21'!F61,'4-21'!F61-'4-20'!F61,'4-20'!F61-'4-19'!F61,'4-19'!F61-'4-18'!F61,'4-18'!F61-'4-17'!F61,'4-17'!F61-'4-16'!F61,'4-16'!F61-'4-15'!F61)</f>
        <v>637.42857142857144</v>
      </c>
      <c r="L61" s="55">
        <f t="shared" si="1"/>
        <v>96</v>
      </c>
      <c r="M61" s="51">
        <f t="shared" ca="1" si="2"/>
        <v>44411</v>
      </c>
    </row>
    <row r="62" spans="1:13" x14ac:dyDescent="0.25">
      <c r="A62" s="32">
        <v>61</v>
      </c>
      <c r="B62" s="32" t="s">
        <v>80</v>
      </c>
      <c r="C62" s="33">
        <v>44417</v>
      </c>
      <c r="D62" s="33">
        <v>1258570</v>
      </c>
      <c r="E62" s="34">
        <f>'4-22'!P62</f>
        <v>17.8</v>
      </c>
      <c r="F62" s="34">
        <v>13.9</v>
      </c>
      <c r="G62" s="34">
        <f>'4-15'!M62</f>
        <v>64.510000000000005</v>
      </c>
      <c r="H62" s="34">
        <f>'4-15'!Q62</f>
        <v>21.73</v>
      </c>
      <c r="I62" s="33">
        <f>'4-22'!F62</f>
        <v>7523</v>
      </c>
      <c r="J62" s="50">
        <f t="shared" si="0"/>
        <v>0.16937208726388545</v>
      </c>
      <c r="K62" s="33">
        <f>AVERAGE('4-22'!F62-'4-21'!F62,'4-21'!F62-'4-20'!F62,'4-20'!F62-'4-19'!F62,'4-19'!F62-'4-18'!F62,'4-18'!F62-'4-17'!F62,'4-17'!F62-'4-16'!F62,'4-16'!F62-'4-15'!F62)</f>
        <v>83.857142857142861</v>
      </c>
      <c r="L62" s="34">
        <f t="shared" si="1"/>
        <v>440</v>
      </c>
      <c r="M62" s="52">
        <f t="shared" ca="1" si="2"/>
        <v>44755</v>
      </c>
    </row>
    <row r="63" spans="1:13" x14ac:dyDescent="0.25">
      <c r="A63" s="27">
        <v>62</v>
      </c>
      <c r="B63" s="27" t="s">
        <v>81</v>
      </c>
      <c r="C63" s="29">
        <v>21569</v>
      </c>
      <c r="D63" s="29">
        <v>766755</v>
      </c>
      <c r="E63" s="28">
        <f>'4-22'!P63</f>
        <v>19.8</v>
      </c>
      <c r="F63" s="28">
        <v>10.9</v>
      </c>
      <c r="G63" s="28">
        <f>'4-15'!M63</f>
        <v>20.67</v>
      </c>
      <c r="H63" s="28">
        <f>'4-15'!Q63</f>
        <v>20.98</v>
      </c>
      <c r="I63" s="53">
        <f>'4-22'!F63</f>
        <v>3405</v>
      </c>
      <c r="J63" s="54">
        <f t="shared" si="0"/>
        <v>0.15786545505123092</v>
      </c>
      <c r="K63" s="53">
        <f>AVERAGE('4-22'!F63-'4-21'!F63,'4-21'!F63-'4-20'!F63,'4-20'!F63-'4-19'!F63,'4-19'!F63-'4-18'!F63,'4-18'!F63-'4-17'!F63,'4-17'!F63-'4-16'!F63,'4-16'!F63-'4-15'!F63)</f>
        <v>43</v>
      </c>
      <c r="L63" s="55">
        <f t="shared" si="1"/>
        <v>423</v>
      </c>
      <c r="M63" s="51">
        <f t="shared" ca="1" si="2"/>
        <v>44738</v>
      </c>
    </row>
    <row r="64" spans="1:13" x14ac:dyDescent="0.25">
      <c r="A64" s="32">
        <v>63</v>
      </c>
      <c r="B64" s="32" t="s">
        <v>82</v>
      </c>
      <c r="C64" s="33">
        <v>15237</v>
      </c>
      <c r="D64" s="33">
        <v>272507</v>
      </c>
      <c r="E64" s="34">
        <f>'4-22'!P64</f>
        <v>22</v>
      </c>
      <c r="F64" s="34">
        <v>12.4</v>
      </c>
      <c r="G64" s="34">
        <f>'4-15'!M64</f>
        <v>62.56</v>
      </c>
      <c r="H64" s="34">
        <f>'4-15'!Q64</f>
        <v>15.21</v>
      </c>
      <c r="I64" s="33">
        <f>'4-22'!F64</f>
        <v>1708</v>
      </c>
      <c r="J64" s="50">
        <f t="shared" si="0"/>
        <v>0.1120955568681499</v>
      </c>
      <c r="K64" s="33">
        <f>AVERAGE('4-22'!F64-'4-21'!F64,'4-21'!F64-'4-20'!F64,'4-20'!F64-'4-19'!F64,'4-19'!F64-'4-18'!F64,'4-18'!F64-'4-17'!F64,'4-17'!F64-'4-16'!F64,'4-16'!F64-'4-15'!F64)</f>
        <v>22.714285714285715</v>
      </c>
      <c r="L64" s="34">
        <f t="shared" si="1"/>
        <v>596</v>
      </c>
      <c r="M64" s="52">
        <f t="shared" ca="1" si="2"/>
        <v>44911</v>
      </c>
    </row>
    <row r="65" spans="1:13" x14ac:dyDescent="0.25">
      <c r="A65" s="27">
        <v>64</v>
      </c>
      <c r="B65" s="27" t="s">
        <v>83</v>
      </c>
      <c r="C65" s="29">
        <v>553284</v>
      </c>
      <c r="D65" s="29">
        <v>17063419</v>
      </c>
      <c r="E65" s="28">
        <f>'4-22'!P65</f>
        <v>15.2</v>
      </c>
      <c r="F65" s="28">
        <v>12.5</v>
      </c>
      <c r="G65" s="28">
        <f>'4-15'!M65</f>
        <v>502.42</v>
      </c>
      <c r="H65" s="28">
        <f>'4-15'!Q65</f>
        <v>24.91</v>
      </c>
      <c r="I65" s="53">
        <f>'4-22'!F65</f>
        <v>135623</v>
      </c>
      <c r="J65" s="54">
        <f t="shared" si="0"/>
        <v>0.24512366162766319</v>
      </c>
      <c r="K65" s="53">
        <f>AVERAGE('4-22'!F65-'4-21'!F65,'4-21'!F65-'4-20'!F65,'4-20'!F65-'4-19'!F65,'4-19'!F65-'4-18'!F65,'4-18'!F65-'4-17'!F65,'4-17'!F65-'4-16'!F65,'4-16'!F65-'4-15'!F65)</f>
        <v>1748</v>
      </c>
      <c r="L65" s="55">
        <f t="shared" si="1"/>
        <v>239</v>
      </c>
      <c r="M65" s="51">
        <f t="shared" ca="1" si="2"/>
        <v>44554</v>
      </c>
    </row>
    <row r="66" spans="1:13" x14ac:dyDescent="0.25">
      <c r="A66" s="32">
        <v>65</v>
      </c>
      <c r="B66" s="32" t="s">
        <v>84</v>
      </c>
      <c r="C66" s="33">
        <v>33739</v>
      </c>
      <c r="D66" s="33">
        <v>692619</v>
      </c>
      <c r="E66" s="34">
        <f>'4-22'!P66</f>
        <v>11.5</v>
      </c>
      <c r="F66" s="34">
        <v>9</v>
      </c>
      <c r="G66" s="34">
        <f>'4-15'!M66</f>
        <v>55.64</v>
      </c>
      <c r="H66" s="34">
        <f>'4-15'!Q66</f>
        <v>15.9</v>
      </c>
      <c r="I66" s="33">
        <f>'4-22'!F66</f>
        <v>6668</v>
      </c>
      <c r="J66" s="50">
        <f t="shared" si="0"/>
        <v>0.19763478467055928</v>
      </c>
      <c r="K66" s="33">
        <f>AVERAGE('4-22'!F66-'4-21'!F66,'4-21'!F66-'4-20'!F66,'4-20'!F66-'4-19'!F66,'4-19'!F66-'4-18'!F66,'4-18'!F66-'4-17'!F66,'4-17'!F66-'4-16'!F66,'4-16'!F66-'4-15'!F66)</f>
        <v>68.428571428571431</v>
      </c>
      <c r="L66" s="34">
        <f t="shared" si="1"/>
        <v>396</v>
      </c>
      <c r="M66" s="52">
        <f t="shared" ca="1" si="2"/>
        <v>44711</v>
      </c>
    </row>
    <row r="67" spans="1:13" x14ac:dyDescent="0.25">
      <c r="A67" s="27">
        <v>66</v>
      </c>
      <c r="B67" s="27" t="s">
        <v>85</v>
      </c>
      <c r="C67" s="29">
        <v>74071</v>
      </c>
      <c r="D67" s="29">
        <v>2775045</v>
      </c>
      <c r="E67" s="28">
        <f>'4-22'!P67</f>
        <v>14.7</v>
      </c>
      <c r="F67" s="28">
        <v>13.5</v>
      </c>
      <c r="G67" s="28">
        <f>'4-15'!M67</f>
        <v>71.38</v>
      </c>
      <c r="H67" s="28">
        <f>'4-15'!Q67</f>
        <v>20.22</v>
      </c>
      <c r="I67" s="53">
        <f>'4-22'!F67</f>
        <v>14578</v>
      </c>
      <c r="J67" s="54">
        <f t="shared" ref="J67:J68" si="3">I67/C67</f>
        <v>0.19681116766345802</v>
      </c>
      <c r="K67" s="53">
        <f>AVERAGE('4-22'!F67-'4-21'!F67,'4-21'!F67-'4-20'!F67,'4-20'!F67-'4-19'!F67,'4-19'!F67-'4-18'!F67,'4-18'!F67-'4-17'!F67,'4-17'!F67-'4-16'!F67,'4-16'!F67-'4-15'!F67)</f>
        <v>147.85714285714286</v>
      </c>
      <c r="L67" s="55">
        <f t="shared" ref="L67:L68" si="4">ROUNDUP((C67-I67)/K67,0)</f>
        <v>403</v>
      </c>
      <c r="M67" s="51">
        <f t="shared" ref="M67:M68" ca="1" si="5">TODAY()+L67</f>
        <v>44718</v>
      </c>
    </row>
    <row r="68" spans="1:13" x14ac:dyDescent="0.25">
      <c r="A68" s="32">
        <v>67</v>
      </c>
      <c r="B68" s="32" t="s">
        <v>86</v>
      </c>
      <c r="C68" s="33">
        <v>25473</v>
      </c>
      <c r="D68" s="33">
        <v>524311</v>
      </c>
      <c r="E68" s="34">
        <f>'4-22'!P68</f>
        <v>22.4</v>
      </c>
      <c r="F68" s="34">
        <v>12.8</v>
      </c>
      <c r="G68" s="34">
        <f>'4-15'!M68</f>
        <v>43.57</v>
      </c>
      <c r="H68" s="34">
        <f>'4-15'!Q68</f>
        <v>17.2</v>
      </c>
      <c r="I68" s="33">
        <f>'4-22'!F68</f>
        <v>3169</v>
      </c>
      <c r="J68" s="50">
        <f t="shared" si="3"/>
        <v>0.12440623405174106</v>
      </c>
      <c r="K68" s="33">
        <f>AVERAGE('4-22'!F68-'4-21'!F68,'4-21'!F68-'4-20'!F68,'4-20'!F68-'4-19'!F68,'4-19'!F68-'4-18'!F68,'4-18'!F68-'4-17'!F68,'4-17'!F68-'4-16'!F68,'4-16'!F68-'4-15'!F68)</f>
        <v>33.571428571428569</v>
      </c>
      <c r="L68" s="34">
        <f t="shared" si="4"/>
        <v>665</v>
      </c>
      <c r="M68" s="52">
        <f t="shared" ca="1" si="5"/>
        <v>44980</v>
      </c>
    </row>
  </sheetData>
  <conditionalFormatting sqref="M2:M68">
    <cfRule type="cellIs" dxfId="0" priority="5" operator="greaterThan">
      <formula>"12.31.21"</formula>
    </cfRule>
  </conditionalFormatting>
  <conditionalFormatting sqref="J2:J6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68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percentile" val="50"/>
        <cfvo type="max"/>
        <color theme="9" tint="0.39997558519241921"/>
        <color rgb="FFFFEB84"/>
        <color theme="5" tint="0.39997558519241921"/>
      </colorScale>
    </cfRule>
    <cfRule type="colorScale" priority="1">
      <colorScale>
        <cfvo type="min"/>
        <cfvo type="num" val="180"/>
        <cfvo type="num" val="261"/>
        <color theme="9" tint="0.59999389629810485"/>
        <color rgb="FFFFEB84"/>
        <color rgb="FFFF66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68"/>
  <sheetViews>
    <sheetView workbookViewId="0">
      <selection activeCell="O5" sqref="O5"/>
    </sheetView>
  </sheetViews>
  <sheetFormatPr defaultColWidth="8.625" defaultRowHeight="15" x14ac:dyDescent="0.25"/>
  <cols>
    <col min="1" max="1" width="2.625" style="9" bestFit="1" customWidth="1"/>
    <col min="2" max="2" width="10.75" style="9" bestFit="1" customWidth="1"/>
    <col min="3" max="3" width="19" style="9" bestFit="1" customWidth="1"/>
    <col min="4" max="4" width="12" style="9" bestFit="1" customWidth="1"/>
    <col min="5" max="5" width="12.25" style="9" bestFit="1" customWidth="1"/>
    <col min="6" max="6" width="9.375" style="9" bestFit="1" customWidth="1"/>
    <col min="7" max="7" width="16.375" style="9" bestFit="1" customWidth="1"/>
    <col min="8" max="8" width="11.625" style="9" bestFit="1" customWidth="1"/>
    <col min="9" max="9" width="18.75" style="9" bestFit="1" customWidth="1"/>
    <col min="10" max="10" width="11.625" style="9" bestFit="1" customWidth="1"/>
    <col min="11" max="11" width="18.75" style="9" bestFit="1" customWidth="1"/>
    <col min="12" max="12" width="14.25" style="9" bestFit="1" customWidth="1"/>
    <col min="13" max="13" width="16.25" style="9" bestFit="1" customWidth="1"/>
    <col min="14" max="14" width="10.875" style="9" bestFit="1" customWidth="1"/>
    <col min="15" max="15" width="15.875" style="9" bestFit="1" customWidth="1"/>
    <col min="16" max="16" width="10.75" style="9" bestFit="1" customWidth="1"/>
    <col min="17" max="17" width="7.25" style="9" bestFit="1" customWidth="1"/>
    <col min="18" max="16384" width="8.625" style="9"/>
  </cols>
  <sheetData>
    <row r="1" spans="1:17" x14ac:dyDescent="0.25"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</row>
    <row r="2" spans="1:17" x14ac:dyDescent="0.25">
      <c r="A2" s="9">
        <v>1</v>
      </c>
      <c r="B2" s="9" t="s">
        <v>16</v>
      </c>
      <c r="C2" s="9" t="s">
        <v>17</v>
      </c>
      <c r="D2" s="10">
        <v>44301</v>
      </c>
      <c r="E2" s="9">
        <v>105.93</v>
      </c>
      <c r="F2" s="11">
        <v>68041</v>
      </c>
      <c r="G2" s="12">
        <v>0.253</v>
      </c>
      <c r="H2" s="11">
        <v>67996</v>
      </c>
      <c r="I2" s="12">
        <v>0.308</v>
      </c>
      <c r="J2" s="11">
        <v>30358</v>
      </c>
      <c r="K2" s="12">
        <v>0.77300000000000002</v>
      </c>
      <c r="L2" s="11">
        <v>269043</v>
      </c>
      <c r="M2" s="9">
        <v>307.29000000000002</v>
      </c>
      <c r="N2" s="9">
        <v>2.54</v>
      </c>
      <c r="O2" s="9">
        <v>9.1999999999999993</v>
      </c>
      <c r="P2" s="9">
        <v>21.8</v>
      </c>
      <c r="Q2" s="9">
        <v>14.6</v>
      </c>
    </row>
    <row r="3" spans="1:17" x14ac:dyDescent="0.25">
      <c r="A3" s="9">
        <v>2</v>
      </c>
      <c r="B3" s="9" t="s">
        <v>18</v>
      </c>
      <c r="C3" s="9" t="s">
        <v>19</v>
      </c>
      <c r="D3" s="10">
        <v>44301</v>
      </c>
      <c r="E3" s="9">
        <v>68.47</v>
      </c>
      <c r="F3" s="11">
        <v>3360</v>
      </c>
      <c r="G3" s="12">
        <v>0.115</v>
      </c>
      <c r="H3" s="11">
        <v>3360</v>
      </c>
      <c r="I3" s="12">
        <v>0.151</v>
      </c>
      <c r="J3" s="11">
        <v>2157</v>
      </c>
      <c r="K3" s="12">
        <v>0.52400000000000002</v>
      </c>
      <c r="L3" s="11">
        <v>29210</v>
      </c>
      <c r="M3" s="9">
        <v>49.91</v>
      </c>
      <c r="N3" s="9">
        <v>2.92</v>
      </c>
      <c r="O3" s="9">
        <v>12.5</v>
      </c>
      <c r="P3" s="9">
        <v>14.6</v>
      </c>
      <c r="Q3" s="9">
        <v>14.09</v>
      </c>
    </row>
    <row r="4" spans="1:17" x14ac:dyDescent="0.25">
      <c r="A4" s="9">
        <v>3</v>
      </c>
      <c r="B4" s="9" t="s">
        <v>20</v>
      </c>
      <c r="C4" s="9" t="s">
        <v>19</v>
      </c>
      <c r="D4" s="10">
        <v>44301</v>
      </c>
      <c r="E4" s="9">
        <v>91.01</v>
      </c>
      <c r="F4" s="11">
        <v>34440</v>
      </c>
      <c r="G4" s="12">
        <v>0.19700000000000001</v>
      </c>
      <c r="H4" s="11">
        <v>34420</v>
      </c>
      <c r="I4" s="12">
        <v>0.248</v>
      </c>
      <c r="J4" s="11">
        <v>18553</v>
      </c>
      <c r="K4" s="14">
        <v>0.56999999999999995</v>
      </c>
      <c r="L4" s="11">
        <v>174705</v>
      </c>
      <c r="M4" s="9">
        <v>230.3</v>
      </c>
      <c r="N4" s="9">
        <v>2.57</v>
      </c>
      <c r="O4" s="9">
        <v>14.2</v>
      </c>
      <c r="P4" s="9">
        <v>14.7</v>
      </c>
      <c r="Q4" s="9">
        <v>18.62</v>
      </c>
    </row>
    <row r="5" spans="1:17" x14ac:dyDescent="0.25">
      <c r="A5" s="9">
        <v>4</v>
      </c>
      <c r="B5" s="9" t="s">
        <v>21</v>
      </c>
      <c r="C5" s="9" t="s">
        <v>19</v>
      </c>
      <c r="D5" s="10">
        <v>44301</v>
      </c>
      <c r="E5" s="9">
        <v>56.74</v>
      </c>
      <c r="F5" s="11">
        <v>3671</v>
      </c>
      <c r="G5" s="14">
        <v>0.13</v>
      </c>
      <c r="H5" s="11">
        <v>3671</v>
      </c>
      <c r="I5" s="12">
        <v>0.16200000000000001</v>
      </c>
      <c r="J5" s="11">
        <v>2495</v>
      </c>
      <c r="K5" s="12">
        <v>0.49299999999999999</v>
      </c>
      <c r="L5" s="11">
        <v>28201</v>
      </c>
      <c r="M5" s="9">
        <v>95.93</v>
      </c>
      <c r="N5" s="9">
        <v>2.6</v>
      </c>
      <c r="O5" s="9">
        <v>12.4</v>
      </c>
      <c r="P5" s="9">
        <v>20.3</v>
      </c>
      <c r="Q5" s="9">
        <v>17.96</v>
      </c>
    </row>
    <row r="6" spans="1:17" x14ac:dyDescent="0.25">
      <c r="A6" s="9">
        <v>5</v>
      </c>
      <c r="B6" s="9" t="s">
        <v>22</v>
      </c>
      <c r="C6" s="9" t="s">
        <v>17</v>
      </c>
      <c r="D6" s="10">
        <v>44301</v>
      </c>
      <c r="E6" s="9">
        <v>142.87</v>
      </c>
      <c r="F6" s="11">
        <v>130747</v>
      </c>
      <c r="G6" s="12">
        <v>0.217</v>
      </c>
      <c r="H6" s="11">
        <v>130684</v>
      </c>
      <c r="I6" s="12">
        <v>0.26500000000000001</v>
      </c>
      <c r="J6" s="11">
        <v>86241</v>
      </c>
      <c r="K6" s="12">
        <v>0.59199999999999997</v>
      </c>
      <c r="L6" s="11">
        <v>601942</v>
      </c>
      <c r="M6" s="9">
        <v>593.05999999999995</v>
      </c>
      <c r="N6" s="9">
        <v>2.4900000000000002</v>
      </c>
      <c r="O6" s="9">
        <v>10.8</v>
      </c>
      <c r="P6" s="9">
        <v>12.7</v>
      </c>
      <c r="Q6" s="9">
        <v>24.21</v>
      </c>
    </row>
    <row r="7" spans="1:17" x14ac:dyDescent="0.25">
      <c r="A7" s="9">
        <v>6</v>
      </c>
      <c r="B7" s="9" t="s">
        <v>23</v>
      </c>
      <c r="C7" s="9" t="s">
        <v>17</v>
      </c>
      <c r="D7" s="10">
        <v>44301</v>
      </c>
      <c r="E7" s="9">
        <v>285.39</v>
      </c>
      <c r="F7" s="11">
        <v>418314</v>
      </c>
      <c r="G7" s="12">
        <v>0.214</v>
      </c>
      <c r="H7" s="11">
        <v>417658</v>
      </c>
      <c r="I7" s="12">
        <v>0.27100000000000002</v>
      </c>
      <c r="J7" s="11">
        <v>213253</v>
      </c>
      <c r="K7" s="12">
        <v>0.63700000000000001</v>
      </c>
      <c r="L7" s="11">
        <v>1952778</v>
      </c>
      <c r="M7" s="13">
        <v>1623.5</v>
      </c>
      <c r="N7" s="9">
        <v>2.77</v>
      </c>
      <c r="O7" s="9">
        <v>14.6</v>
      </c>
      <c r="P7" s="9">
        <v>13.5</v>
      </c>
      <c r="Q7" s="9">
        <v>17.13</v>
      </c>
    </row>
    <row r="8" spans="1:17" x14ac:dyDescent="0.25">
      <c r="A8" s="9">
        <v>7</v>
      </c>
      <c r="B8" s="9" t="s">
        <v>24</v>
      </c>
      <c r="C8" s="9" t="s">
        <v>25</v>
      </c>
      <c r="D8" s="10">
        <v>44301</v>
      </c>
      <c r="E8" s="9" t="s">
        <v>26</v>
      </c>
      <c r="F8" s="11">
        <v>1985</v>
      </c>
      <c r="G8" s="12">
        <v>0.14099999999999999</v>
      </c>
      <c r="H8" s="11">
        <v>1985</v>
      </c>
      <c r="I8" s="12">
        <v>0.17599999999999999</v>
      </c>
      <c r="J8" s="11">
        <v>1353</v>
      </c>
      <c r="K8" s="12">
        <v>0.50700000000000001</v>
      </c>
      <c r="L8" s="11">
        <v>14105</v>
      </c>
      <c r="M8" s="9">
        <v>24.86</v>
      </c>
      <c r="N8" s="9">
        <v>2.73</v>
      </c>
      <c r="O8" s="9">
        <v>18.3</v>
      </c>
      <c r="P8" s="9">
        <v>12.2</v>
      </c>
      <c r="Q8" s="9">
        <v>18.93</v>
      </c>
    </row>
    <row r="9" spans="1:17" x14ac:dyDescent="0.25">
      <c r="A9" s="9">
        <v>8</v>
      </c>
      <c r="B9" s="9" t="s">
        <v>27</v>
      </c>
      <c r="C9" s="9" t="s">
        <v>17</v>
      </c>
      <c r="D9" s="10">
        <v>44301</v>
      </c>
      <c r="E9" s="9">
        <v>156.69</v>
      </c>
      <c r="F9" s="11">
        <v>57500</v>
      </c>
      <c r="G9" s="12">
        <v>0.30399999999999999</v>
      </c>
      <c r="H9" s="11">
        <v>57476</v>
      </c>
      <c r="I9" s="12">
        <v>0.34499999999999997</v>
      </c>
      <c r="J9" s="11">
        <v>47353</v>
      </c>
      <c r="K9" s="12">
        <v>0.61399999999999999</v>
      </c>
      <c r="L9" s="11">
        <v>188910</v>
      </c>
      <c r="M9" s="9">
        <v>277.36</v>
      </c>
      <c r="N9" s="9">
        <v>2.2799999999999998</v>
      </c>
      <c r="O9" s="9">
        <v>11.3</v>
      </c>
      <c r="P9" s="9">
        <v>11.1</v>
      </c>
      <c r="Q9" s="9">
        <v>40.799999999999997</v>
      </c>
    </row>
    <row r="10" spans="1:17" x14ac:dyDescent="0.25">
      <c r="A10" s="9">
        <v>9</v>
      </c>
      <c r="B10" s="9" t="s">
        <v>28</v>
      </c>
      <c r="C10" s="9" t="s">
        <v>19</v>
      </c>
      <c r="D10" s="10">
        <v>44301</v>
      </c>
      <c r="E10" s="9">
        <v>84.19</v>
      </c>
      <c r="F10" s="11">
        <v>38124</v>
      </c>
      <c r="G10" s="12">
        <v>0.255</v>
      </c>
      <c r="H10" s="11">
        <v>38118</v>
      </c>
      <c r="I10" s="12">
        <v>0.29899999999999999</v>
      </c>
      <c r="J10" s="11">
        <v>31679</v>
      </c>
      <c r="K10" s="12">
        <v>0.57699999999999996</v>
      </c>
      <c r="L10" s="11">
        <v>149657</v>
      </c>
      <c r="M10" s="9">
        <v>257.18</v>
      </c>
      <c r="N10" s="9">
        <v>2.2400000000000002</v>
      </c>
      <c r="O10" s="9">
        <v>10.4</v>
      </c>
      <c r="P10" s="9">
        <v>16.7</v>
      </c>
      <c r="Q10" s="9">
        <v>36.71</v>
      </c>
    </row>
    <row r="11" spans="1:17" x14ac:dyDescent="0.25">
      <c r="A11" s="9">
        <v>10</v>
      </c>
      <c r="B11" s="9" t="s">
        <v>29</v>
      </c>
      <c r="C11" s="9" t="s">
        <v>17</v>
      </c>
      <c r="D11" s="10">
        <v>44301</v>
      </c>
      <c r="E11" s="9">
        <v>104.45</v>
      </c>
      <c r="F11" s="11">
        <v>36364</v>
      </c>
      <c r="G11" s="12">
        <v>0.16600000000000001</v>
      </c>
      <c r="H11" s="11">
        <v>36338</v>
      </c>
      <c r="I11" s="12">
        <v>0.215</v>
      </c>
      <c r="J11" s="11">
        <v>20201</v>
      </c>
      <c r="K11" s="12">
        <v>0.56399999999999995</v>
      </c>
      <c r="L11" s="11">
        <v>219252</v>
      </c>
      <c r="M11" s="9">
        <v>362.63</v>
      </c>
      <c r="N11" s="9">
        <v>2.81</v>
      </c>
      <c r="O11" s="9">
        <v>10.4</v>
      </c>
      <c r="P11" s="9">
        <v>10.6</v>
      </c>
      <c r="Q11" s="9">
        <v>16.350000000000001</v>
      </c>
    </row>
    <row r="12" spans="1:17" x14ac:dyDescent="0.25">
      <c r="A12" s="9">
        <v>11</v>
      </c>
      <c r="B12" s="9" t="s">
        <v>30</v>
      </c>
      <c r="C12" s="9" t="s">
        <v>17</v>
      </c>
      <c r="D12" s="10">
        <v>44301</v>
      </c>
      <c r="E12" s="9">
        <v>183.94</v>
      </c>
      <c r="F12" s="11">
        <v>110657</v>
      </c>
      <c r="G12" s="12">
        <v>0.28699999999999998</v>
      </c>
      <c r="H12" s="11">
        <v>110625</v>
      </c>
      <c r="I12" s="12">
        <v>0.34599999999999997</v>
      </c>
      <c r="J12" s="11">
        <v>87256</v>
      </c>
      <c r="K12" s="12">
        <v>0.68899999999999995</v>
      </c>
      <c r="L12" s="11">
        <v>384902</v>
      </c>
      <c r="M12" s="9">
        <v>192.75</v>
      </c>
      <c r="N12" s="9">
        <v>2.5499999999999998</v>
      </c>
      <c r="O12" s="9">
        <v>16.5</v>
      </c>
      <c r="P12" s="9">
        <v>12.3</v>
      </c>
      <c r="Q12" s="9">
        <v>32.92</v>
      </c>
    </row>
    <row r="13" spans="1:17" x14ac:dyDescent="0.25">
      <c r="A13" s="9">
        <v>12</v>
      </c>
      <c r="B13" s="9" t="s">
        <v>31</v>
      </c>
      <c r="C13" s="9" t="s">
        <v>19</v>
      </c>
      <c r="D13" s="10">
        <v>44301</v>
      </c>
      <c r="E13" s="9">
        <v>97.65</v>
      </c>
      <c r="F13" s="11">
        <v>11882</v>
      </c>
      <c r="G13" s="12">
        <v>0.16600000000000001</v>
      </c>
      <c r="H13" s="11">
        <v>11880</v>
      </c>
      <c r="I13" s="12">
        <v>0.21099999999999999</v>
      </c>
      <c r="J13" s="11">
        <v>7597</v>
      </c>
      <c r="K13" s="14">
        <v>0.55000000000000004</v>
      </c>
      <c r="L13" s="11">
        <v>71686</v>
      </c>
      <c r="M13" s="9">
        <v>89.88</v>
      </c>
      <c r="N13" s="9">
        <v>2.57</v>
      </c>
      <c r="O13" s="9">
        <v>12.4</v>
      </c>
      <c r="P13" s="9">
        <v>17.399999999999999</v>
      </c>
      <c r="Q13" s="9">
        <v>19.260000000000002</v>
      </c>
    </row>
    <row r="14" spans="1:17" x14ac:dyDescent="0.25">
      <c r="A14" s="9">
        <v>13</v>
      </c>
      <c r="B14" s="9" t="s">
        <v>32</v>
      </c>
      <c r="C14" s="9" t="s">
        <v>17</v>
      </c>
      <c r="D14" s="10">
        <v>44301</v>
      </c>
      <c r="E14" s="9">
        <v>165.79</v>
      </c>
      <c r="F14" s="11">
        <v>5526</v>
      </c>
      <c r="G14" s="12">
        <v>0.14499999999999999</v>
      </c>
      <c r="H14" s="11">
        <v>5526</v>
      </c>
      <c r="I14" s="12">
        <v>0.17899999999999999</v>
      </c>
      <c r="J14" s="11">
        <v>4202</v>
      </c>
      <c r="K14" s="12">
        <v>0.49099999999999999</v>
      </c>
      <c r="L14" s="11">
        <v>38001</v>
      </c>
      <c r="M14" s="9">
        <v>59.68</v>
      </c>
      <c r="N14" s="9">
        <v>2.74</v>
      </c>
      <c r="O14" s="9">
        <v>18.399999999999999</v>
      </c>
      <c r="P14" s="9">
        <v>28.5</v>
      </c>
      <c r="Q14" s="9">
        <v>22.52</v>
      </c>
    </row>
    <row r="15" spans="1:17" x14ac:dyDescent="0.25">
      <c r="A15" s="9">
        <v>14</v>
      </c>
      <c r="B15" s="9" t="s">
        <v>33</v>
      </c>
      <c r="C15" s="9" t="s">
        <v>19</v>
      </c>
      <c r="D15" s="10">
        <v>44301</v>
      </c>
      <c r="E15" s="9">
        <v>65.38</v>
      </c>
      <c r="F15" s="11">
        <v>2346</v>
      </c>
      <c r="G15" s="12">
        <v>0.13900000000000001</v>
      </c>
      <c r="H15" s="11">
        <v>2346</v>
      </c>
      <c r="I15" s="12">
        <v>0.17100000000000001</v>
      </c>
      <c r="J15" s="11">
        <v>1832</v>
      </c>
      <c r="K15" s="14">
        <v>0.46</v>
      </c>
      <c r="L15" s="11">
        <v>16826</v>
      </c>
      <c r="M15" s="9">
        <v>23.86</v>
      </c>
      <c r="N15" s="9">
        <v>2.2799999999999998</v>
      </c>
      <c r="O15" s="9">
        <v>17.2</v>
      </c>
      <c r="P15" s="9">
        <v>23.1</v>
      </c>
      <c r="Q15" s="9">
        <v>23.68</v>
      </c>
    </row>
    <row r="16" spans="1:17" x14ac:dyDescent="0.25">
      <c r="A16" s="9">
        <v>15</v>
      </c>
      <c r="B16" s="9" t="s">
        <v>34</v>
      </c>
      <c r="C16" s="9" t="s">
        <v>17</v>
      </c>
      <c r="D16" s="10">
        <v>44301</v>
      </c>
      <c r="E16" s="9">
        <v>116.21</v>
      </c>
      <c r="F16" s="11">
        <v>208589</v>
      </c>
      <c r="G16" s="12">
        <v>0.218</v>
      </c>
      <c r="H16" s="11">
        <v>208409</v>
      </c>
      <c r="I16" s="12">
        <v>0.28100000000000003</v>
      </c>
      <c r="J16" s="11">
        <v>95088</v>
      </c>
      <c r="K16" s="12">
        <v>0.68600000000000005</v>
      </c>
      <c r="L16" s="11">
        <v>957755</v>
      </c>
      <c r="M16" s="13">
        <v>1255.8599999999999</v>
      </c>
      <c r="N16" s="9">
        <v>2.5499999999999998</v>
      </c>
      <c r="O16" s="9">
        <v>12</v>
      </c>
      <c r="P16" s="9">
        <v>15.5</v>
      </c>
      <c r="Q16" s="9">
        <v>14.47</v>
      </c>
    </row>
    <row r="17" spans="1:17" x14ac:dyDescent="0.25">
      <c r="A17" s="9">
        <v>16</v>
      </c>
      <c r="B17" s="9" t="s">
        <v>35</v>
      </c>
      <c r="C17" s="9" t="s">
        <v>19</v>
      </c>
      <c r="D17" s="10">
        <v>44301</v>
      </c>
      <c r="E17" s="9">
        <v>75.709999999999994</v>
      </c>
      <c r="F17" s="11">
        <v>64308</v>
      </c>
      <c r="G17" s="12">
        <v>0.20200000000000001</v>
      </c>
      <c r="H17" s="11">
        <v>64281</v>
      </c>
      <c r="I17" s="12">
        <v>0.255</v>
      </c>
      <c r="J17" s="11">
        <v>34613</v>
      </c>
      <c r="K17" s="12">
        <v>0.63400000000000001</v>
      </c>
      <c r="L17" s="11">
        <v>318316</v>
      </c>
      <c r="M17" s="9">
        <v>484.52</v>
      </c>
      <c r="N17" s="9">
        <v>2.4700000000000002</v>
      </c>
      <c r="O17" s="9">
        <v>10.199999999999999</v>
      </c>
      <c r="P17" s="9">
        <v>13.9</v>
      </c>
      <c r="Q17" s="9">
        <v>17.14</v>
      </c>
    </row>
    <row r="18" spans="1:17" x14ac:dyDescent="0.25">
      <c r="A18" s="9">
        <v>17</v>
      </c>
      <c r="B18" s="9" t="s">
        <v>36</v>
      </c>
      <c r="C18" s="9" t="s">
        <v>17</v>
      </c>
      <c r="D18" s="10">
        <v>44301</v>
      </c>
      <c r="E18" s="9">
        <v>118.18</v>
      </c>
      <c r="F18" s="11">
        <v>31766</v>
      </c>
      <c r="G18" s="12">
        <v>0.27600000000000002</v>
      </c>
      <c r="H18" s="11">
        <v>31759</v>
      </c>
      <c r="I18" s="12">
        <v>0.33100000000000002</v>
      </c>
      <c r="J18" s="11">
        <v>24065</v>
      </c>
      <c r="K18" s="14">
        <v>0.67</v>
      </c>
      <c r="L18" s="11">
        <v>115081</v>
      </c>
      <c r="M18" s="9">
        <v>237.21</v>
      </c>
      <c r="N18" s="9">
        <v>2.62</v>
      </c>
      <c r="O18" s="9">
        <v>12.7</v>
      </c>
      <c r="P18" s="9">
        <v>11.9</v>
      </c>
      <c r="Q18" s="9">
        <v>31.19</v>
      </c>
    </row>
    <row r="19" spans="1:17" x14ac:dyDescent="0.25">
      <c r="A19" s="9">
        <v>18</v>
      </c>
      <c r="B19" s="9" t="s">
        <v>37</v>
      </c>
      <c r="C19" s="9" t="s">
        <v>17</v>
      </c>
      <c r="D19" s="10">
        <v>44301</v>
      </c>
      <c r="E19" s="9" t="s">
        <v>26</v>
      </c>
      <c r="F19" s="11">
        <v>2854</v>
      </c>
      <c r="G19" s="12">
        <v>0.23499999999999999</v>
      </c>
      <c r="H19" s="11">
        <v>2854</v>
      </c>
      <c r="I19" s="12">
        <v>0.27800000000000002</v>
      </c>
      <c r="J19" s="11">
        <v>2038</v>
      </c>
      <c r="K19" s="12">
        <v>0.69699999999999995</v>
      </c>
      <c r="L19" s="11">
        <v>12125</v>
      </c>
      <c r="M19" s="9">
        <v>22.24</v>
      </c>
      <c r="N19" s="9">
        <v>2.35</v>
      </c>
      <c r="O19" s="9">
        <v>18.3</v>
      </c>
      <c r="P19" s="9">
        <v>20.7</v>
      </c>
      <c r="Q19" s="9">
        <v>24.13</v>
      </c>
    </row>
    <row r="20" spans="1:17" x14ac:dyDescent="0.25">
      <c r="A20" s="9">
        <v>19</v>
      </c>
      <c r="B20" s="9" t="s">
        <v>38</v>
      </c>
      <c r="C20" s="9" t="s">
        <v>19</v>
      </c>
      <c r="D20" s="10">
        <v>44301</v>
      </c>
      <c r="E20" s="9">
        <v>61.32</v>
      </c>
      <c r="F20" s="11">
        <v>10729</v>
      </c>
      <c r="G20" s="12">
        <v>0.23499999999999999</v>
      </c>
      <c r="H20" s="11">
        <v>10723</v>
      </c>
      <c r="I20" s="12">
        <v>0.29899999999999999</v>
      </c>
      <c r="J20" s="11">
        <v>5800</v>
      </c>
      <c r="K20" s="12">
        <v>0.67900000000000005</v>
      </c>
      <c r="L20" s="11">
        <v>45660</v>
      </c>
      <c r="M20" s="9">
        <v>88.44</v>
      </c>
      <c r="N20" s="9">
        <v>2.4700000000000002</v>
      </c>
      <c r="O20" s="9">
        <v>14.9</v>
      </c>
      <c r="P20" s="9">
        <v>24.6</v>
      </c>
      <c r="Q20" s="9">
        <v>18.7</v>
      </c>
    </row>
    <row r="21" spans="1:17" x14ac:dyDescent="0.25">
      <c r="A21" s="9">
        <v>20</v>
      </c>
      <c r="B21" s="9" t="s">
        <v>39</v>
      </c>
      <c r="C21" s="9" t="s">
        <v>17</v>
      </c>
      <c r="D21" s="10">
        <v>44301</v>
      </c>
      <c r="E21" s="9">
        <v>161.44999999999999</v>
      </c>
      <c r="F21" s="11">
        <v>2615</v>
      </c>
      <c r="G21" s="12">
        <v>0.14099999999999999</v>
      </c>
      <c r="H21" s="11">
        <v>2613</v>
      </c>
      <c r="I21" s="12">
        <v>0.17599999999999999</v>
      </c>
      <c r="J21" s="11">
        <v>1794</v>
      </c>
      <c r="K21" s="12">
        <v>0.46700000000000003</v>
      </c>
      <c r="L21" s="11">
        <v>18582</v>
      </c>
      <c r="M21" s="9">
        <v>53.14</v>
      </c>
      <c r="N21" s="9">
        <v>2.5</v>
      </c>
      <c r="O21" s="9">
        <v>18.100000000000001</v>
      </c>
      <c r="P21" s="9">
        <v>17.899999999999999</v>
      </c>
      <c r="Q21" s="9">
        <v>20.65</v>
      </c>
    </row>
    <row r="22" spans="1:17" x14ac:dyDescent="0.25">
      <c r="A22" s="9">
        <v>21</v>
      </c>
      <c r="B22" s="9" t="s">
        <v>40</v>
      </c>
      <c r="C22" s="9" t="s">
        <v>25</v>
      </c>
      <c r="D22" s="10">
        <v>44301</v>
      </c>
      <c r="E22" s="9" t="s">
        <v>26</v>
      </c>
      <c r="F22" s="11">
        <v>1739</v>
      </c>
      <c r="G22" s="12">
        <v>0.126</v>
      </c>
      <c r="H22" s="11">
        <v>1739</v>
      </c>
      <c r="I22" s="12">
        <v>0.14699999999999999</v>
      </c>
      <c r="J22" s="11">
        <v>1317</v>
      </c>
      <c r="K22" s="12">
        <v>0.34599999999999997</v>
      </c>
      <c r="L22" s="11">
        <v>13811</v>
      </c>
      <c r="M22" s="9">
        <v>17.12</v>
      </c>
      <c r="N22" s="9">
        <v>2.71</v>
      </c>
      <c r="O22" s="9">
        <v>19.899999999999999</v>
      </c>
      <c r="P22" s="9">
        <v>17</v>
      </c>
      <c r="Q22" s="9">
        <v>27.57</v>
      </c>
    </row>
    <row r="23" spans="1:17" x14ac:dyDescent="0.25">
      <c r="A23" s="9">
        <v>22</v>
      </c>
      <c r="B23" s="9" t="s">
        <v>41</v>
      </c>
      <c r="C23" s="9" t="s">
        <v>25</v>
      </c>
      <c r="D23" s="10">
        <v>44301</v>
      </c>
      <c r="E23" s="9" t="s">
        <v>26</v>
      </c>
      <c r="F23" s="11">
        <v>2979</v>
      </c>
      <c r="G23" s="12">
        <v>0.218</v>
      </c>
      <c r="H23" s="11">
        <v>2979</v>
      </c>
      <c r="I23" s="12">
        <v>0.26700000000000002</v>
      </c>
      <c r="J23" s="11">
        <v>2255</v>
      </c>
      <c r="K23" s="12">
        <v>0.624</v>
      </c>
      <c r="L23" s="11">
        <v>13639</v>
      </c>
      <c r="M23" s="9">
        <v>24.64</v>
      </c>
      <c r="N23" s="9">
        <v>2.5499999999999998</v>
      </c>
      <c r="O23" s="9">
        <v>11.4</v>
      </c>
      <c r="P23" s="9">
        <v>13.9</v>
      </c>
      <c r="Q23" s="9">
        <v>26.5</v>
      </c>
    </row>
    <row r="24" spans="1:17" x14ac:dyDescent="0.25">
      <c r="A24" s="9">
        <v>23</v>
      </c>
      <c r="B24" s="9" t="s">
        <v>42</v>
      </c>
      <c r="C24" s="9" t="s">
        <v>19</v>
      </c>
      <c r="D24" s="10">
        <v>44301</v>
      </c>
      <c r="E24" s="9" t="s">
        <v>26</v>
      </c>
      <c r="F24" s="11">
        <v>2046</v>
      </c>
      <c r="G24" s="12">
        <v>0.14199999999999999</v>
      </c>
      <c r="H24" s="11">
        <v>2046</v>
      </c>
      <c r="I24" s="12">
        <v>0.17499999999999999</v>
      </c>
      <c r="J24" s="11">
        <v>1461</v>
      </c>
      <c r="K24" s="12">
        <v>0.54800000000000004</v>
      </c>
      <c r="L24" s="11">
        <v>14428</v>
      </c>
      <c r="M24" s="9">
        <v>28.08</v>
      </c>
      <c r="N24" s="9">
        <v>2.44</v>
      </c>
      <c r="O24" s="9">
        <v>14.3</v>
      </c>
      <c r="P24" s="9">
        <v>29.5</v>
      </c>
      <c r="Q24" s="9">
        <v>18.46</v>
      </c>
    </row>
    <row r="25" spans="1:17" x14ac:dyDescent="0.25">
      <c r="A25" s="9">
        <v>24</v>
      </c>
      <c r="B25" s="9" t="s">
        <v>43</v>
      </c>
      <c r="C25" s="9" t="s">
        <v>17</v>
      </c>
      <c r="D25" s="10">
        <v>44301</v>
      </c>
      <c r="E25" s="9">
        <v>167.06</v>
      </c>
      <c r="F25" s="11">
        <v>2899</v>
      </c>
      <c r="G25" s="12">
        <v>0.108</v>
      </c>
      <c r="H25" s="11">
        <v>2899</v>
      </c>
      <c r="I25" s="12">
        <v>0.14399999999999999</v>
      </c>
      <c r="J25" s="11">
        <v>2274</v>
      </c>
      <c r="K25" s="12">
        <v>0.48399999999999999</v>
      </c>
      <c r="L25" s="11">
        <v>26937</v>
      </c>
      <c r="M25" s="9">
        <v>42.25</v>
      </c>
      <c r="N25" s="9">
        <v>3.22</v>
      </c>
      <c r="O25" s="9">
        <v>12.2</v>
      </c>
      <c r="P25" s="9">
        <v>26.7</v>
      </c>
      <c r="Q25" s="9">
        <v>17.43</v>
      </c>
    </row>
    <row r="26" spans="1:17" x14ac:dyDescent="0.25">
      <c r="A26" s="9">
        <v>25</v>
      </c>
      <c r="B26" s="9" t="s">
        <v>44</v>
      </c>
      <c r="C26" s="9" t="s">
        <v>17</v>
      </c>
      <c r="D26" s="10">
        <v>44301</v>
      </c>
      <c r="E26" s="9">
        <v>142.78</v>
      </c>
      <c r="F26" s="11">
        <v>5661</v>
      </c>
      <c r="G26" s="12">
        <v>0.13500000000000001</v>
      </c>
      <c r="H26" s="11">
        <v>5658</v>
      </c>
      <c r="I26" s="12">
        <v>0.184</v>
      </c>
      <c r="J26" s="11">
        <v>3433</v>
      </c>
      <c r="K26" s="12">
        <v>0.59399999999999997</v>
      </c>
      <c r="L26" s="11">
        <v>42022</v>
      </c>
      <c r="M26" s="9">
        <v>36.340000000000003</v>
      </c>
      <c r="N26" s="9">
        <v>3.17</v>
      </c>
      <c r="O26" s="9">
        <v>26.2</v>
      </c>
      <c r="P26" s="9">
        <v>26.8</v>
      </c>
      <c r="Q26" s="9">
        <v>13.75</v>
      </c>
    </row>
    <row r="27" spans="1:17" x14ac:dyDescent="0.25">
      <c r="A27" s="9">
        <v>26</v>
      </c>
      <c r="B27" s="9" t="s">
        <v>45</v>
      </c>
      <c r="C27" s="9" t="s">
        <v>17</v>
      </c>
      <c r="D27" s="10">
        <v>44301</v>
      </c>
      <c r="E27" s="9">
        <v>135.62</v>
      </c>
      <c r="F27" s="11">
        <v>40395</v>
      </c>
      <c r="G27" s="12">
        <v>0.20799999999999999</v>
      </c>
      <c r="H27" s="11">
        <v>40378</v>
      </c>
      <c r="I27" s="12">
        <v>0.255</v>
      </c>
      <c r="J27" s="11">
        <v>29924</v>
      </c>
      <c r="K27" s="12">
        <v>0.56100000000000005</v>
      </c>
      <c r="L27" s="11">
        <v>193920</v>
      </c>
      <c r="M27" s="9">
        <v>410.01</v>
      </c>
      <c r="N27" s="9">
        <v>2.46</v>
      </c>
      <c r="O27" s="9">
        <v>12.6</v>
      </c>
      <c r="P27" s="9">
        <v>14.3</v>
      </c>
      <c r="Q27" s="9">
        <v>27.51</v>
      </c>
    </row>
    <row r="28" spans="1:17" x14ac:dyDescent="0.25">
      <c r="A28" s="9">
        <v>27</v>
      </c>
      <c r="B28" s="9" t="s">
        <v>46</v>
      </c>
      <c r="C28" s="9" t="s">
        <v>17</v>
      </c>
      <c r="D28" s="10">
        <v>44301</v>
      </c>
      <c r="E28" s="9">
        <v>155.34</v>
      </c>
      <c r="F28" s="11">
        <v>23011</v>
      </c>
      <c r="G28" s="12">
        <v>0.217</v>
      </c>
      <c r="H28" s="11">
        <v>23010</v>
      </c>
      <c r="I28" s="14">
        <v>0.26</v>
      </c>
      <c r="J28" s="11">
        <v>18864</v>
      </c>
      <c r="K28" s="12">
        <v>0.49299999999999999</v>
      </c>
      <c r="L28" s="11">
        <v>106221</v>
      </c>
      <c r="M28" s="9">
        <v>104.38</v>
      </c>
      <c r="N28" s="9">
        <v>2.44</v>
      </c>
      <c r="O28" s="9">
        <v>12.7</v>
      </c>
      <c r="P28" s="9">
        <v>19.2</v>
      </c>
      <c r="Q28" s="9">
        <v>36.049999999999997</v>
      </c>
    </row>
    <row r="29" spans="1:17" x14ac:dyDescent="0.25">
      <c r="A29" s="9">
        <v>28</v>
      </c>
      <c r="B29" s="9" t="s">
        <v>47</v>
      </c>
      <c r="C29" s="9" t="s">
        <v>17</v>
      </c>
      <c r="D29" s="10">
        <v>44301</v>
      </c>
      <c r="E29" s="9">
        <v>219.09</v>
      </c>
      <c r="F29" s="11">
        <v>282935</v>
      </c>
      <c r="G29" s="12">
        <v>0.192</v>
      </c>
      <c r="H29" s="11">
        <v>282713</v>
      </c>
      <c r="I29" s="12">
        <v>0.247</v>
      </c>
      <c r="J29" s="11">
        <v>125203</v>
      </c>
      <c r="K29" s="12">
        <v>0.58499999999999996</v>
      </c>
      <c r="L29" s="11">
        <v>1471968</v>
      </c>
      <c r="M29" s="13">
        <v>1440.39</v>
      </c>
      <c r="N29" s="9">
        <v>2.63</v>
      </c>
      <c r="O29" s="9">
        <v>13</v>
      </c>
      <c r="P29" s="9">
        <v>15.3</v>
      </c>
      <c r="Q29" s="9">
        <v>14.54</v>
      </c>
    </row>
    <row r="30" spans="1:17" x14ac:dyDescent="0.25">
      <c r="A30" s="9">
        <v>29</v>
      </c>
      <c r="B30" s="9" t="s">
        <v>48</v>
      </c>
      <c r="C30" s="9" t="s">
        <v>25</v>
      </c>
      <c r="D30" s="10">
        <v>44301</v>
      </c>
      <c r="E30" s="9" t="s">
        <v>26</v>
      </c>
      <c r="F30" s="11">
        <v>2467</v>
      </c>
      <c r="G30" s="12">
        <v>0.126</v>
      </c>
      <c r="H30" s="11">
        <v>2466</v>
      </c>
      <c r="I30" s="12">
        <v>0.158</v>
      </c>
      <c r="J30" s="11">
        <v>1685</v>
      </c>
      <c r="K30" s="14">
        <v>0.43</v>
      </c>
      <c r="L30" s="11">
        <v>19617</v>
      </c>
      <c r="M30" s="9">
        <v>40.97</v>
      </c>
      <c r="N30" s="9">
        <v>2.5099999999999998</v>
      </c>
      <c r="O30" s="9">
        <v>18.899999999999999</v>
      </c>
      <c r="P30" s="9">
        <v>25.6</v>
      </c>
      <c r="Q30" s="9">
        <v>19.989999999999998</v>
      </c>
    </row>
    <row r="31" spans="1:17" x14ac:dyDescent="0.25">
      <c r="A31" s="9">
        <v>30</v>
      </c>
      <c r="B31" s="9" t="s">
        <v>49</v>
      </c>
      <c r="C31" s="9" t="s">
        <v>17</v>
      </c>
      <c r="D31" s="10">
        <v>44301</v>
      </c>
      <c r="E31" s="9">
        <v>116.31</v>
      </c>
      <c r="F31" s="11">
        <v>44938</v>
      </c>
      <c r="G31" s="12">
        <v>0.28100000000000003</v>
      </c>
      <c r="H31" s="11">
        <v>44924</v>
      </c>
      <c r="I31" s="12">
        <v>0.33300000000000002</v>
      </c>
      <c r="J31" s="11">
        <v>35711</v>
      </c>
      <c r="K31" s="14">
        <v>0.66</v>
      </c>
      <c r="L31" s="11">
        <v>159923</v>
      </c>
      <c r="M31" s="9">
        <v>318.08</v>
      </c>
      <c r="N31" s="9">
        <v>2.6</v>
      </c>
      <c r="O31" s="9">
        <v>12.1</v>
      </c>
      <c r="P31" s="9">
        <v>12.2</v>
      </c>
      <c r="Q31" s="9">
        <v>33.85</v>
      </c>
    </row>
    <row r="32" spans="1:17" x14ac:dyDescent="0.25">
      <c r="A32" s="9">
        <v>31</v>
      </c>
      <c r="B32" s="9" t="s">
        <v>50</v>
      </c>
      <c r="C32" s="9" t="s">
        <v>25</v>
      </c>
      <c r="D32" s="10">
        <v>44301</v>
      </c>
      <c r="E32" s="9">
        <v>34.47</v>
      </c>
      <c r="F32" s="11">
        <v>8285</v>
      </c>
      <c r="G32" s="12">
        <v>0.17899999999999999</v>
      </c>
      <c r="H32" s="11">
        <v>8284</v>
      </c>
      <c r="I32" s="14">
        <v>0.22</v>
      </c>
      <c r="J32" s="11">
        <v>5075</v>
      </c>
      <c r="K32" s="14">
        <v>0.53</v>
      </c>
      <c r="L32" s="11">
        <v>46414</v>
      </c>
      <c r="M32" s="9">
        <v>50.55</v>
      </c>
      <c r="N32" s="9">
        <v>2.4</v>
      </c>
      <c r="O32" s="9">
        <v>11.3</v>
      </c>
      <c r="P32" s="9">
        <v>20.6</v>
      </c>
      <c r="Q32" s="9">
        <v>20.62</v>
      </c>
    </row>
    <row r="33" spans="1:17" x14ac:dyDescent="0.25">
      <c r="A33" s="9">
        <v>32</v>
      </c>
      <c r="B33" s="9" t="s">
        <v>51</v>
      </c>
      <c r="C33" s="9" t="s">
        <v>19</v>
      </c>
      <c r="D33" s="10">
        <v>44301</v>
      </c>
      <c r="E33" s="9" t="s">
        <v>26</v>
      </c>
      <c r="F33" s="11">
        <v>4221</v>
      </c>
      <c r="G33" s="12">
        <v>0.29599999999999999</v>
      </c>
      <c r="H33" s="11">
        <v>4221</v>
      </c>
      <c r="I33" s="12">
        <v>0.35499999999999998</v>
      </c>
      <c r="J33" s="11">
        <v>3147</v>
      </c>
      <c r="K33" s="12">
        <v>0.89600000000000002</v>
      </c>
      <c r="L33" s="11">
        <v>14246</v>
      </c>
      <c r="M33" s="9">
        <v>23.82</v>
      </c>
      <c r="N33" s="9">
        <v>2.04</v>
      </c>
      <c r="O33" s="9">
        <v>6.4</v>
      </c>
      <c r="P33" s="9">
        <v>14.1</v>
      </c>
      <c r="Q33" s="9">
        <v>24.65</v>
      </c>
    </row>
    <row r="34" spans="1:17" x14ac:dyDescent="0.25">
      <c r="A34" s="9">
        <v>33</v>
      </c>
      <c r="B34" s="9" t="s">
        <v>52</v>
      </c>
      <c r="C34" s="9" t="s">
        <v>25</v>
      </c>
      <c r="D34" s="10">
        <v>44301</v>
      </c>
      <c r="E34" s="9" t="s">
        <v>26</v>
      </c>
      <c r="F34" s="11">
        <v>1278</v>
      </c>
      <c r="G34" s="12">
        <v>0.152</v>
      </c>
      <c r="H34" s="11">
        <v>1278</v>
      </c>
      <c r="I34" s="14">
        <v>0.19</v>
      </c>
      <c r="J34" s="11">
        <v>1056</v>
      </c>
      <c r="K34" s="12">
        <v>0.72599999999999998</v>
      </c>
      <c r="L34" s="11">
        <v>8422</v>
      </c>
      <c r="M34" s="9">
        <v>15.5</v>
      </c>
      <c r="N34" s="9">
        <v>3.43</v>
      </c>
      <c r="O34" s="9">
        <v>17.600000000000001</v>
      </c>
      <c r="P34" s="9">
        <v>20.100000000000001</v>
      </c>
      <c r="Q34" s="9">
        <v>17.28</v>
      </c>
    </row>
    <row r="35" spans="1:17" x14ac:dyDescent="0.25">
      <c r="A35" s="9">
        <v>34</v>
      </c>
      <c r="B35" s="9" t="s">
        <v>53</v>
      </c>
      <c r="C35" s="9" t="s">
        <v>17</v>
      </c>
      <c r="D35" s="10">
        <v>44301</v>
      </c>
      <c r="E35" s="9">
        <v>187.95</v>
      </c>
      <c r="F35" s="11">
        <v>97279</v>
      </c>
      <c r="G35" s="12">
        <v>0.26500000000000001</v>
      </c>
      <c r="H35" s="11">
        <v>97197</v>
      </c>
      <c r="I35" s="12">
        <v>0.32600000000000001</v>
      </c>
      <c r="J35" s="11">
        <v>72161</v>
      </c>
      <c r="K35" s="12">
        <v>0.72599999999999998</v>
      </c>
      <c r="L35" s="11">
        <v>367118</v>
      </c>
      <c r="M35" s="9">
        <v>386.13</v>
      </c>
      <c r="N35" s="9">
        <v>2.5499999999999998</v>
      </c>
      <c r="O35" s="9">
        <v>11.6</v>
      </c>
      <c r="P35" s="9">
        <v>12.5</v>
      </c>
      <c r="Q35" s="9">
        <v>27.07</v>
      </c>
    </row>
    <row r="36" spans="1:17" x14ac:dyDescent="0.25">
      <c r="A36" s="9">
        <v>35</v>
      </c>
      <c r="B36" s="9" t="s">
        <v>54</v>
      </c>
      <c r="C36" s="9" t="s">
        <v>17</v>
      </c>
      <c r="D36" s="10">
        <v>44301</v>
      </c>
      <c r="E36" s="9">
        <v>200.24</v>
      </c>
      <c r="F36" s="11">
        <v>172101</v>
      </c>
      <c r="G36" s="12">
        <v>0.223</v>
      </c>
      <c r="H36" s="11">
        <v>172071</v>
      </c>
      <c r="I36" s="14">
        <v>0.27</v>
      </c>
      <c r="J36" s="11">
        <v>133394</v>
      </c>
      <c r="K36" s="12">
        <v>0.59399999999999997</v>
      </c>
      <c r="L36" s="11">
        <v>770577</v>
      </c>
      <c r="M36" s="9">
        <v>986.08</v>
      </c>
      <c r="N36" s="9">
        <v>2.61</v>
      </c>
      <c r="O36" s="9">
        <v>14.3</v>
      </c>
      <c r="P36" s="9">
        <v>14</v>
      </c>
      <c r="Q36" s="9">
        <v>29.15</v>
      </c>
    </row>
    <row r="37" spans="1:17" x14ac:dyDescent="0.25">
      <c r="A37" s="9">
        <v>36</v>
      </c>
      <c r="B37" s="9" t="s">
        <v>55</v>
      </c>
      <c r="C37" s="9" t="s">
        <v>19</v>
      </c>
      <c r="D37" s="10">
        <v>44301</v>
      </c>
      <c r="E37" s="9">
        <v>92.99</v>
      </c>
      <c r="F37" s="11">
        <v>63634</v>
      </c>
      <c r="G37" s="12">
        <v>0.217</v>
      </c>
      <c r="H37" s="11">
        <v>63565</v>
      </c>
      <c r="I37" s="12">
        <v>0.26600000000000001</v>
      </c>
      <c r="J37" s="11">
        <v>31244</v>
      </c>
      <c r="K37" s="12">
        <v>0.76600000000000001</v>
      </c>
      <c r="L37" s="11">
        <v>293582</v>
      </c>
      <c r="M37" s="9">
        <v>440.23</v>
      </c>
      <c r="N37" s="9">
        <v>2.4300000000000002</v>
      </c>
      <c r="O37" s="9">
        <v>8.1999999999999993</v>
      </c>
      <c r="P37" s="9">
        <v>20.399999999999999</v>
      </c>
      <c r="Q37" s="9">
        <v>13.89</v>
      </c>
    </row>
    <row r="38" spans="1:17" x14ac:dyDescent="0.25">
      <c r="A38" s="9">
        <v>37</v>
      </c>
      <c r="B38" s="9" t="s">
        <v>56</v>
      </c>
      <c r="C38" s="9" t="s">
        <v>17</v>
      </c>
      <c r="D38" s="10">
        <v>44301</v>
      </c>
      <c r="E38" s="9">
        <v>163.84</v>
      </c>
      <c r="F38" s="11">
        <v>7105</v>
      </c>
      <c r="G38" s="12">
        <v>0.17100000000000001</v>
      </c>
      <c r="H38" s="11">
        <v>7102</v>
      </c>
      <c r="I38" s="12">
        <v>0.21199999999999999</v>
      </c>
      <c r="J38" s="11">
        <v>5173</v>
      </c>
      <c r="K38" s="12">
        <v>0.496</v>
      </c>
      <c r="L38" s="11">
        <v>41503</v>
      </c>
      <c r="M38" s="9">
        <v>37.119999999999997</v>
      </c>
      <c r="N38" s="9">
        <v>2.41</v>
      </c>
      <c r="O38" s="9">
        <v>15.5</v>
      </c>
      <c r="P38" s="9">
        <v>20.7</v>
      </c>
      <c r="Q38" s="9">
        <v>25.15</v>
      </c>
    </row>
    <row r="39" spans="1:17" x14ac:dyDescent="0.25">
      <c r="A39" s="9">
        <v>38</v>
      </c>
      <c r="B39" s="9" t="s">
        <v>57</v>
      </c>
      <c r="C39" s="9" t="s">
        <v>19</v>
      </c>
      <c r="D39" s="10">
        <v>44301</v>
      </c>
      <c r="E39" s="9" t="s">
        <v>26</v>
      </c>
      <c r="F39" s="11">
        <v>1102</v>
      </c>
      <c r="G39" s="12">
        <v>0.13200000000000001</v>
      </c>
      <c r="H39" s="11">
        <v>1102</v>
      </c>
      <c r="I39" s="14">
        <v>0.16</v>
      </c>
      <c r="J39" s="9">
        <v>686</v>
      </c>
      <c r="K39" s="12">
        <v>0.54600000000000004</v>
      </c>
      <c r="L39" s="11">
        <v>8354</v>
      </c>
      <c r="M39" s="9">
        <v>10</v>
      </c>
      <c r="N39" s="9">
        <v>2.9</v>
      </c>
      <c r="O39" s="9">
        <v>18.5</v>
      </c>
      <c r="P39" s="9">
        <v>13</v>
      </c>
      <c r="Q39" s="9">
        <v>15.04</v>
      </c>
    </row>
    <row r="40" spans="1:17" x14ac:dyDescent="0.25">
      <c r="A40" s="9">
        <v>39</v>
      </c>
      <c r="B40" s="9" t="s">
        <v>58</v>
      </c>
      <c r="C40" s="9" t="s">
        <v>25</v>
      </c>
      <c r="D40" s="10">
        <v>44301</v>
      </c>
      <c r="E40" s="9" t="s">
        <v>26</v>
      </c>
      <c r="F40" s="11">
        <v>3566</v>
      </c>
      <c r="G40" s="12">
        <v>0.193</v>
      </c>
      <c r="H40" s="11">
        <v>3565</v>
      </c>
      <c r="I40" s="12">
        <v>0.23599999999999999</v>
      </c>
      <c r="J40" s="11">
        <v>2375</v>
      </c>
      <c r="K40" s="12">
        <v>0.60899999999999999</v>
      </c>
      <c r="L40" s="11">
        <v>18493</v>
      </c>
      <c r="M40" s="9">
        <v>26.55</v>
      </c>
      <c r="N40" s="9">
        <v>2.4500000000000002</v>
      </c>
      <c r="O40" s="9">
        <v>13.1</v>
      </c>
      <c r="P40" s="9">
        <v>28.2</v>
      </c>
      <c r="Q40" s="9">
        <v>21.1</v>
      </c>
    </row>
    <row r="41" spans="1:17" x14ac:dyDescent="0.25">
      <c r="A41" s="9">
        <v>40</v>
      </c>
      <c r="B41" s="9" t="s">
        <v>59</v>
      </c>
      <c r="C41" s="9" t="s">
        <v>17</v>
      </c>
      <c r="D41" s="10">
        <v>44301</v>
      </c>
      <c r="E41" s="9">
        <v>194.42</v>
      </c>
      <c r="F41" s="11">
        <v>92375</v>
      </c>
      <c r="G41" s="12">
        <v>0.22900000000000001</v>
      </c>
      <c r="H41" s="11">
        <v>92359</v>
      </c>
      <c r="I41" s="12">
        <v>0.27900000000000003</v>
      </c>
      <c r="J41" s="11">
        <v>68938</v>
      </c>
      <c r="K41" s="12">
        <v>0.60899999999999999</v>
      </c>
      <c r="L41" s="11">
        <v>403253</v>
      </c>
      <c r="M41" s="9">
        <v>542.28</v>
      </c>
      <c r="N41" s="9">
        <v>2.57</v>
      </c>
      <c r="O41" s="9">
        <v>12.7</v>
      </c>
      <c r="P41" s="9">
        <v>12.5</v>
      </c>
      <c r="Q41" s="9">
        <v>28.06</v>
      </c>
    </row>
    <row r="42" spans="1:17" x14ac:dyDescent="0.25">
      <c r="A42" s="9">
        <v>41</v>
      </c>
      <c r="B42" s="9" t="s">
        <v>60</v>
      </c>
      <c r="C42" s="9" t="s">
        <v>19</v>
      </c>
      <c r="D42" s="10">
        <v>44301</v>
      </c>
      <c r="E42" s="9">
        <v>92.18</v>
      </c>
      <c r="F42" s="11">
        <v>82719</v>
      </c>
      <c r="G42" s="12">
        <v>0.22600000000000001</v>
      </c>
      <c r="H42" s="11">
        <v>82703</v>
      </c>
      <c r="I42" s="12">
        <v>0.27700000000000002</v>
      </c>
      <c r="J42" s="11">
        <v>62804</v>
      </c>
      <c r="K42" s="12">
        <v>0.58899999999999997</v>
      </c>
      <c r="L42" s="11">
        <v>365579</v>
      </c>
      <c r="M42" s="9">
        <v>230.15</v>
      </c>
      <c r="N42" s="9">
        <v>2.48</v>
      </c>
      <c r="O42" s="9">
        <v>12.3</v>
      </c>
      <c r="P42" s="9">
        <v>16.600000000000001</v>
      </c>
      <c r="Q42" s="9">
        <v>29.18</v>
      </c>
    </row>
    <row r="43" spans="1:17" x14ac:dyDescent="0.25">
      <c r="A43" s="9">
        <v>42</v>
      </c>
      <c r="B43" s="9" t="s">
        <v>61</v>
      </c>
      <c r="C43" s="9" t="s">
        <v>17</v>
      </c>
      <c r="D43" s="10">
        <v>44301</v>
      </c>
      <c r="E43" s="9">
        <v>130.43</v>
      </c>
      <c r="F43" s="11">
        <v>45386</v>
      </c>
      <c r="G43" s="12">
        <v>0.28199999999999997</v>
      </c>
      <c r="H43" s="11">
        <v>45372</v>
      </c>
      <c r="I43" s="12">
        <v>0.33600000000000002</v>
      </c>
      <c r="J43" s="11">
        <v>35575</v>
      </c>
      <c r="K43" s="12">
        <v>0.70099999999999996</v>
      </c>
      <c r="L43" s="11">
        <v>161000</v>
      </c>
      <c r="M43" s="9">
        <v>296.05</v>
      </c>
      <c r="N43" s="9">
        <v>2.41</v>
      </c>
      <c r="O43" s="9">
        <v>11.5</v>
      </c>
      <c r="P43" s="9">
        <v>10.5</v>
      </c>
      <c r="Q43" s="9">
        <v>31.53</v>
      </c>
    </row>
    <row r="44" spans="1:17" x14ac:dyDescent="0.25">
      <c r="A44" s="9">
        <v>43</v>
      </c>
      <c r="B44" s="9" t="s">
        <v>62</v>
      </c>
      <c r="C44" s="9" t="s">
        <v>17</v>
      </c>
      <c r="D44" s="10">
        <v>44301</v>
      </c>
      <c r="E44" s="9">
        <v>368.8</v>
      </c>
      <c r="F44" s="11">
        <v>622886</v>
      </c>
      <c r="G44" s="12">
        <v>0.22900000000000001</v>
      </c>
      <c r="H44" s="11">
        <v>621713</v>
      </c>
      <c r="I44" s="12">
        <v>0.28699999999999998</v>
      </c>
      <c r="J44" s="11">
        <v>288271</v>
      </c>
      <c r="K44" s="12">
        <v>0.63700000000000001</v>
      </c>
      <c r="L44" s="11">
        <v>2716940</v>
      </c>
      <c r="M44" s="13">
        <v>1430.09</v>
      </c>
      <c r="N44" s="9">
        <v>3.07</v>
      </c>
      <c r="O44" s="9">
        <v>18.100000000000001</v>
      </c>
      <c r="P44" s="9">
        <v>18</v>
      </c>
      <c r="Q44" s="9">
        <v>16.66</v>
      </c>
    </row>
    <row r="45" spans="1:17" x14ac:dyDescent="0.25">
      <c r="A45" s="9">
        <v>44</v>
      </c>
      <c r="B45" s="9" t="s">
        <v>63</v>
      </c>
      <c r="C45" s="9" t="s">
        <v>17</v>
      </c>
      <c r="D45" s="10">
        <v>44301</v>
      </c>
      <c r="E45" s="9">
        <v>173.79</v>
      </c>
      <c r="F45" s="11">
        <v>19740</v>
      </c>
      <c r="G45" s="12">
        <v>0.26600000000000001</v>
      </c>
      <c r="H45" s="11">
        <v>19735</v>
      </c>
      <c r="I45" s="12">
        <v>0.313</v>
      </c>
      <c r="J45" s="11">
        <v>12855</v>
      </c>
      <c r="K45" s="12">
        <v>0.72899999999999998</v>
      </c>
      <c r="L45" s="11">
        <v>74228</v>
      </c>
      <c r="M45" s="9">
        <v>75.510000000000005</v>
      </c>
      <c r="N45" s="9">
        <v>2.39</v>
      </c>
      <c r="O45" s="9">
        <v>17.8</v>
      </c>
      <c r="P45" s="9">
        <v>11.8</v>
      </c>
      <c r="Q45" s="9">
        <v>23.75</v>
      </c>
    </row>
    <row r="46" spans="1:17" x14ac:dyDescent="0.25">
      <c r="A46" s="9">
        <v>45</v>
      </c>
      <c r="B46" s="9" t="s">
        <v>64</v>
      </c>
      <c r="C46" s="9" t="s">
        <v>25</v>
      </c>
      <c r="D46" s="10">
        <v>44301</v>
      </c>
      <c r="E46" s="9">
        <v>47.39</v>
      </c>
      <c r="F46" s="11">
        <v>23749</v>
      </c>
      <c r="G46" s="12">
        <v>0.26800000000000002</v>
      </c>
      <c r="H46" s="11">
        <v>23737</v>
      </c>
      <c r="I46" s="12">
        <v>0.33400000000000002</v>
      </c>
      <c r="J46" s="11">
        <v>15433</v>
      </c>
      <c r="K46" s="12">
        <v>0.76300000000000001</v>
      </c>
      <c r="L46" s="11">
        <v>88625</v>
      </c>
      <c r="M46" s="9">
        <v>136.62</v>
      </c>
      <c r="N46" s="9">
        <v>2.5499999999999998</v>
      </c>
      <c r="O46" s="9">
        <v>11</v>
      </c>
      <c r="P46" s="9">
        <v>10.199999999999999</v>
      </c>
      <c r="Q46" s="9">
        <v>22.83</v>
      </c>
    </row>
    <row r="47" spans="1:17" x14ac:dyDescent="0.25">
      <c r="A47" s="9">
        <v>46</v>
      </c>
      <c r="B47" s="9" t="s">
        <v>65</v>
      </c>
      <c r="C47" s="9" t="s">
        <v>19</v>
      </c>
      <c r="D47" s="10">
        <v>44301</v>
      </c>
      <c r="E47" s="9">
        <v>78.3</v>
      </c>
      <c r="F47" s="11">
        <v>42341</v>
      </c>
      <c r="G47" s="12">
        <v>0.20100000000000001</v>
      </c>
      <c r="H47" s="11">
        <v>42322</v>
      </c>
      <c r="I47" s="12">
        <v>0.25800000000000001</v>
      </c>
      <c r="J47" s="11">
        <v>23952</v>
      </c>
      <c r="K47" s="12">
        <v>0.69699999999999995</v>
      </c>
      <c r="L47" s="11">
        <v>210738</v>
      </c>
      <c r="M47" s="9">
        <v>226.55</v>
      </c>
      <c r="N47" s="9">
        <v>2.52</v>
      </c>
      <c r="O47" s="9">
        <v>12.2</v>
      </c>
      <c r="P47" s="9">
        <v>11.5</v>
      </c>
      <c r="Q47" s="9">
        <v>16.309999999999999</v>
      </c>
    </row>
    <row r="48" spans="1:17" x14ac:dyDescent="0.25">
      <c r="A48" s="9">
        <v>47</v>
      </c>
      <c r="B48" s="9" t="s">
        <v>66</v>
      </c>
      <c r="C48" s="9" t="s">
        <v>17</v>
      </c>
      <c r="D48" s="10">
        <v>44301</v>
      </c>
      <c r="E48" s="9">
        <v>149.4</v>
      </c>
      <c r="F48" s="11">
        <v>6484</v>
      </c>
      <c r="G48" s="12">
        <v>0.154</v>
      </c>
      <c r="H48" s="11">
        <v>6482</v>
      </c>
      <c r="I48" s="12">
        <v>0.19500000000000001</v>
      </c>
      <c r="J48" s="11">
        <v>5129</v>
      </c>
      <c r="K48" s="12">
        <v>0.60499999999999998</v>
      </c>
      <c r="L48" s="11">
        <v>42168</v>
      </c>
      <c r="M48" s="9">
        <v>54.82</v>
      </c>
      <c r="N48" s="9">
        <v>2.73</v>
      </c>
      <c r="O48" s="9">
        <v>18.100000000000001</v>
      </c>
      <c r="P48" s="9">
        <v>22.7</v>
      </c>
      <c r="Q48" s="9">
        <v>20.12</v>
      </c>
    </row>
    <row r="49" spans="1:17" x14ac:dyDescent="0.25">
      <c r="A49" s="9">
        <v>48</v>
      </c>
      <c r="B49" s="9" t="s">
        <v>67</v>
      </c>
      <c r="C49" s="9" t="s">
        <v>17</v>
      </c>
      <c r="D49" s="10">
        <v>44301</v>
      </c>
      <c r="E49" s="9">
        <v>238.4</v>
      </c>
      <c r="F49" s="11">
        <v>272935</v>
      </c>
      <c r="G49" s="12">
        <v>0.19600000000000001</v>
      </c>
      <c r="H49" s="11">
        <v>272336</v>
      </c>
      <c r="I49" s="14">
        <v>0.25</v>
      </c>
      <c r="J49" s="11">
        <v>113184</v>
      </c>
      <c r="K49" s="14">
        <v>0.66</v>
      </c>
      <c r="L49" s="11">
        <v>1393452</v>
      </c>
      <c r="M49" s="13">
        <v>1545.08</v>
      </c>
      <c r="N49" s="9">
        <v>2.81</v>
      </c>
      <c r="O49" s="9">
        <v>14.5</v>
      </c>
      <c r="P49" s="9">
        <v>16.100000000000001</v>
      </c>
      <c r="Q49" s="9">
        <v>12.31</v>
      </c>
    </row>
    <row r="50" spans="1:17" x14ac:dyDescent="0.25">
      <c r="A50" s="9">
        <v>49</v>
      </c>
      <c r="B50" s="9" t="s">
        <v>68</v>
      </c>
      <c r="C50" s="9" t="s">
        <v>17</v>
      </c>
      <c r="D50" s="10">
        <v>44301</v>
      </c>
      <c r="E50" s="9">
        <v>286.36</v>
      </c>
      <c r="F50" s="11">
        <v>64804</v>
      </c>
      <c r="G50" s="12">
        <v>0.17199999999999999</v>
      </c>
      <c r="H50" s="11">
        <v>64747</v>
      </c>
      <c r="I50" s="12">
        <v>0.22700000000000001</v>
      </c>
      <c r="J50" s="11">
        <v>33593</v>
      </c>
      <c r="K50" s="12">
        <v>0.66200000000000003</v>
      </c>
      <c r="L50" s="11">
        <v>375751</v>
      </c>
      <c r="M50" s="9">
        <v>283.04000000000002</v>
      </c>
      <c r="N50" s="9">
        <v>3.4</v>
      </c>
      <c r="O50" s="9">
        <v>15.8</v>
      </c>
      <c r="P50" s="9">
        <v>16.3</v>
      </c>
      <c r="Q50" s="9">
        <v>13.52</v>
      </c>
    </row>
    <row r="51" spans="1:17" x14ac:dyDescent="0.25">
      <c r="A51" s="9">
        <v>50</v>
      </c>
      <c r="B51" s="9" t="s">
        <v>69</v>
      </c>
      <c r="C51" s="9" t="s">
        <v>17</v>
      </c>
      <c r="D51" s="10">
        <v>44301</v>
      </c>
      <c r="E51" s="9">
        <v>189.68</v>
      </c>
      <c r="F51" s="11">
        <v>361656</v>
      </c>
      <c r="G51" s="12">
        <v>0.24199999999999999</v>
      </c>
      <c r="H51" s="11">
        <v>361350</v>
      </c>
      <c r="I51" s="12">
        <v>0.29799999999999999</v>
      </c>
      <c r="J51" s="11">
        <v>240767</v>
      </c>
      <c r="K51" s="14">
        <v>0.66</v>
      </c>
      <c r="L51" s="11">
        <v>1496770</v>
      </c>
      <c r="M51" s="9">
        <v>761.99</v>
      </c>
      <c r="N51" s="9">
        <v>2.6</v>
      </c>
      <c r="O51" s="9">
        <v>13.6</v>
      </c>
      <c r="P51" s="9">
        <v>12.8</v>
      </c>
      <c r="Q51" s="9">
        <v>24.36</v>
      </c>
    </row>
    <row r="52" spans="1:17" x14ac:dyDescent="0.25">
      <c r="A52" s="9">
        <v>51</v>
      </c>
      <c r="B52" s="9" t="s">
        <v>70</v>
      </c>
      <c r="C52" s="9" t="s">
        <v>17</v>
      </c>
      <c r="D52" s="10">
        <v>44301</v>
      </c>
      <c r="E52" s="9">
        <v>191.9</v>
      </c>
      <c r="F52" s="11">
        <v>112036</v>
      </c>
      <c r="G52" s="12">
        <v>0.20200000000000001</v>
      </c>
      <c r="H52" s="11">
        <v>111983</v>
      </c>
      <c r="I52" s="12">
        <v>0.253</v>
      </c>
      <c r="J52" s="11">
        <v>72459</v>
      </c>
      <c r="K52" s="12">
        <v>0.57799999999999996</v>
      </c>
      <c r="L52" s="11">
        <v>553947</v>
      </c>
      <c r="M52" s="9">
        <v>741.98</v>
      </c>
      <c r="N52" s="9">
        <v>2.52</v>
      </c>
      <c r="O52" s="9">
        <v>11.8</v>
      </c>
      <c r="P52" s="9">
        <v>13.5</v>
      </c>
      <c r="Q52" s="9">
        <v>22.65</v>
      </c>
    </row>
    <row r="53" spans="1:17" x14ac:dyDescent="0.25">
      <c r="A53" s="9">
        <v>52</v>
      </c>
      <c r="B53" s="9" t="s">
        <v>71</v>
      </c>
      <c r="C53" s="9" t="s">
        <v>17</v>
      </c>
      <c r="D53" s="10">
        <v>44301</v>
      </c>
      <c r="E53" s="9">
        <v>187.49</v>
      </c>
      <c r="F53" s="11">
        <v>248366</v>
      </c>
      <c r="G53" s="12">
        <v>0.255</v>
      </c>
      <c r="H53" s="11">
        <v>248232</v>
      </c>
      <c r="I53" s="12">
        <v>0.30299999999999999</v>
      </c>
      <c r="J53" s="11">
        <v>154896</v>
      </c>
      <c r="K53" s="12">
        <v>0.626</v>
      </c>
      <c r="L53" s="11">
        <v>974996</v>
      </c>
      <c r="M53" s="13">
        <v>3561.28</v>
      </c>
      <c r="N53" s="9">
        <v>2.31</v>
      </c>
      <c r="O53" s="9">
        <v>11.5</v>
      </c>
      <c r="P53" s="9">
        <v>13</v>
      </c>
      <c r="Q53" s="9">
        <v>25.4</v>
      </c>
    </row>
    <row r="54" spans="1:17" x14ac:dyDescent="0.25">
      <c r="A54" s="9">
        <v>53</v>
      </c>
      <c r="B54" s="9" t="s">
        <v>72</v>
      </c>
      <c r="C54" s="9" t="s">
        <v>17</v>
      </c>
      <c r="D54" s="10">
        <v>44301</v>
      </c>
      <c r="E54" s="9">
        <v>198.13</v>
      </c>
      <c r="F54" s="11">
        <v>125905</v>
      </c>
      <c r="G54" s="12">
        <v>0.17399999999999999</v>
      </c>
      <c r="H54" s="11">
        <v>125833</v>
      </c>
      <c r="I54" s="12">
        <v>0.222</v>
      </c>
      <c r="J54" s="11">
        <v>82365</v>
      </c>
      <c r="K54" s="12">
        <v>0.55600000000000005</v>
      </c>
      <c r="L54" s="11">
        <v>724777</v>
      </c>
      <c r="M54" s="9">
        <v>403.21</v>
      </c>
      <c r="N54" s="9">
        <v>2.84</v>
      </c>
      <c r="O54" s="9">
        <v>13.2</v>
      </c>
      <c r="P54" s="9">
        <v>16.600000000000001</v>
      </c>
      <c r="Q54" s="9">
        <v>20.440000000000001</v>
      </c>
    </row>
    <row r="55" spans="1:17" x14ac:dyDescent="0.25">
      <c r="A55" s="9">
        <v>54</v>
      </c>
      <c r="B55" s="9" t="s">
        <v>73</v>
      </c>
      <c r="C55" s="9" t="s">
        <v>17</v>
      </c>
      <c r="D55" s="10">
        <v>44301</v>
      </c>
      <c r="E55" s="9">
        <v>108.69</v>
      </c>
      <c r="F55" s="11">
        <v>10715</v>
      </c>
      <c r="G55" s="12">
        <v>0.14399999999999999</v>
      </c>
      <c r="H55" s="11">
        <v>10713</v>
      </c>
      <c r="I55" s="12">
        <v>0.182</v>
      </c>
      <c r="J55" s="11">
        <v>7703</v>
      </c>
      <c r="K55" s="12">
        <v>0.436</v>
      </c>
      <c r="L55" s="11">
        <v>74521</v>
      </c>
      <c r="M55" s="9">
        <v>102.38</v>
      </c>
      <c r="N55" s="9">
        <v>2.52</v>
      </c>
      <c r="O55" s="9">
        <v>16</v>
      </c>
      <c r="P55" s="9">
        <v>24.8</v>
      </c>
      <c r="Q55" s="9">
        <v>23.72</v>
      </c>
    </row>
    <row r="56" spans="1:17" x14ac:dyDescent="0.25">
      <c r="A56" s="9">
        <v>55</v>
      </c>
      <c r="B56" s="9" t="s">
        <v>74</v>
      </c>
      <c r="C56" s="9" t="s">
        <v>19</v>
      </c>
      <c r="D56" s="10">
        <v>44301</v>
      </c>
      <c r="E56" s="9">
        <v>53.71</v>
      </c>
      <c r="F56" s="11">
        <v>32751</v>
      </c>
      <c r="G56" s="12">
        <v>0.17799999999999999</v>
      </c>
      <c r="H56" s="11">
        <v>32723</v>
      </c>
      <c r="I56" s="12">
        <v>0.22700000000000001</v>
      </c>
      <c r="J56" s="11">
        <v>19422</v>
      </c>
      <c r="K56" s="12">
        <v>0.64500000000000002</v>
      </c>
      <c r="L56" s="11">
        <v>184313</v>
      </c>
      <c r="M56" s="9">
        <v>182.06</v>
      </c>
      <c r="N56" s="9">
        <v>2.68</v>
      </c>
      <c r="O56" s="9">
        <v>10</v>
      </c>
      <c r="P56" s="9">
        <v>9.8000000000000007</v>
      </c>
      <c r="Q56" s="9">
        <v>16.34</v>
      </c>
    </row>
    <row r="57" spans="1:17" x14ac:dyDescent="0.25">
      <c r="A57" s="9">
        <v>56</v>
      </c>
      <c r="B57" s="9" t="s">
        <v>75</v>
      </c>
      <c r="C57" s="9" t="s">
        <v>17</v>
      </c>
      <c r="D57" s="10">
        <v>44301</v>
      </c>
      <c r="E57" s="9">
        <v>182.37</v>
      </c>
      <c r="F57" s="11">
        <v>133674</v>
      </c>
      <c r="G57" s="12">
        <v>0.308</v>
      </c>
      <c r="H57" s="11">
        <v>133618</v>
      </c>
      <c r="I57" s="12">
        <v>0.35799999999999998</v>
      </c>
      <c r="J57" s="11">
        <v>105792</v>
      </c>
      <c r="K57" s="12">
        <v>0.65300000000000002</v>
      </c>
      <c r="L57" s="11">
        <v>433742</v>
      </c>
      <c r="M57" s="9">
        <v>780.13</v>
      </c>
      <c r="N57" s="9">
        <v>2.25</v>
      </c>
      <c r="O57" s="9">
        <v>11.4</v>
      </c>
      <c r="P57" s="9">
        <v>9.6999999999999993</v>
      </c>
      <c r="Q57" s="9">
        <v>37.340000000000003</v>
      </c>
    </row>
    <row r="58" spans="1:17" x14ac:dyDescent="0.25">
      <c r="A58" s="9">
        <v>57</v>
      </c>
      <c r="B58" s="9" t="s">
        <v>76</v>
      </c>
      <c r="C58" s="9" t="s">
        <v>17</v>
      </c>
      <c r="D58" s="10">
        <v>44301</v>
      </c>
      <c r="E58" s="9">
        <v>193.5</v>
      </c>
      <c r="F58" s="11">
        <v>90719</v>
      </c>
      <c r="G58" s="12">
        <v>0.192</v>
      </c>
      <c r="H58" s="11">
        <v>90589</v>
      </c>
      <c r="I58" s="12">
        <v>0.24199999999999999</v>
      </c>
      <c r="J58" s="11">
        <v>46677</v>
      </c>
      <c r="K58" s="12">
        <v>0.61899999999999999</v>
      </c>
      <c r="L58" s="11">
        <v>471826</v>
      </c>
      <c r="M58" s="13">
        <v>1525.34</v>
      </c>
      <c r="N58" s="9">
        <v>2.7</v>
      </c>
      <c r="O58" s="9">
        <v>10.4</v>
      </c>
      <c r="P58" s="9">
        <v>11.4</v>
      </c>
      <c r="Q58" s="9">
        <v>15.98</v>
      </c>
    </row>
    <row r="59" spans="1:17" x14ac:dyDescent="0.25">
      <c r="A59" s="9">
        <v>58</v>
      </c>
      <c r="B59" s="9" t="s">
        <v>77</v>
      </c>
      <c r="C59" s="9" t="s">
        <v>17</v>
      </c>
      <c r="D59" s="10">
        <v>44301</v>
      </c>
      <c r="E59" s="9">
        <v>122.79</v>
      </c>
      <c r="F59" s="11">
        <v>78317</v>
      </c>
      <c r="G59" s="12">
        <v>0.29599999999999999</v>
      </c>
      <c r="H59" s="11">
        <v>78204</v>
      </c>
      <c r="I59" s="12">
        <v>0.377</v>
      </c>
      <c r="J59" s="11">
        <v>45096</v>
      </c>
      <c r="K59" s="12">
        <v>0.82499999999999996</v>
      </c>
      <c r="L59" s="11">
        <v>264672</v>
      </c>
      <c r="M59" s="9">
        <v>440.71</v>
      </c>
      <c r="N59" s="9">
        <v>2.7</v>
      </c>
      <c r="O59" s="9">
        <v>8.4</v>
      </c>
      <c r="P59" s="9">
        <v>8.4</v>
      </c>
      <c r="Q59" s="9">
        <v>20.65</v>
      </c>
    </row>
    <row r="60" spans="1:17" x14ac:dyDescent="0.25">
      <c r="A60" s="9">
        <v>59</v>
      </c>
      <c r="B60" s="9" t="s">
        <v>78</v>
      </c>
      <c r="C60" s="9" t="s">
        <v>17</v>
      </c>
      <c r="D60" s="10">
        <v>44301</v>
      </c>
      <c r="E60" s="9">
        <v>149.26</v>
      </c>
      <c r="F60" s="11">
        <v>65744</v>
      </c>
      <c r="G60" s="14">
        <v>0.2</v>
      </c>
      <c r="H60" s="11">
        <v>65730</v>
      </c>
      <c r="I60" s="12">
        <v>0.249</v>
      </c>
      <c r="J60" s="11">
        <v>47129</v>
      </c>
      <c r="K60" s="12">
        <v>0.58199999999999996</v>
      </c>
      <c r="L60" s="11">
        <v>328297</v>
      </c>
      <c r="M60" s="9">
        <v>574.29999999999995</v>
      </c>
      <c r="N60" s="9">
        <v>2.68</v>
      </c>
      <c r="O60" s="9">
        <v>14</v>
      </c>
      <c r="P60" s="9">
        <v>15</v>
      </c>
      <c r="Q60" s="9">
        <v>24.65</v>
      </c>
    </row>
    <row r="61" spans="1:17" x14ac:dyDescent="0.25">
      <c r="A61" s="9">
        <v>60</v>
      </c>
      <c r="B61" s="9" t="s">
        <v>79</v>
      </c>
      <c r="C61" s="9" t="s">
        <v>17</v>
      </c>
      <c r="D61" s="10">
        <v>44301</v>
      </c>
      <c r="E61" s="9">
        <v>101.19</v>
      </c>
      <c r="F61" s="11">
        <v>67298</v>
      </c>
      <c r="G61" s="12">
        <v>0.50800000000000001</v>
      </c>
      <c r="H61" s="11">
        <v>67289</v>
      </c>
      <c r="I61" s="12">
        <v>0.54700000000000004</v>
      </c>
      <c r="J61" s="11">
        <v>60566</v>
      </c>
      <c r="K61" s="12">
        <v>0.78600000000000003</v>
      </c>
      <c r="L61" s="11">
        <v>132420</v>
      </c>
      <c r="M61" s="9">
        <v>237.68</v>
      </c>
      <c r="N61" s="9">
        <v>2.04</v>
      </c>
      <c r="O61" s="9">
        <v>6.2</v>
      </c>
      <c r="P61" s="9">
        <v>8.8000000000000007</v>
      </c>
      <c r="Q61" s="9">
        <v>58.17</v>
      </c>
    </row>
    <row r="62" spans="1:17" x14ac:dyDescent="0.25">
      <c r="A62" s="9">
        <v>61</v>
      </c>
      <c r="B62" s="9" t="s">
        <v>80</v>
      </c>
      <c r="C62" s="9" t="s">
        <v>19</v>
      </c>
      <c r="D62" s="10">
        <v>44301</v>
      </c>
      <c r="E62" s="9">
        <v>67.540000000000006</v>
      </c>
      <c r="F62" s="11">
        <v>6936</v>
      </c>
      <c r="G62" s="12">
        <v>0.156</v>
      </c>
      <c r="H62" s="11">
        <v>6934</v>
      </c>
      <c r="I62" s="12">
        <v>0.19800000000000001</v>
      </c>
      <c r="J62" s="11">
        <v>5128</v>
      </c>
      <c r="K62" s="12">
        <v>0.53100000000000003</v>
      </c>
      <c r="L62" s="11">
        <v>44417</v>
      </c>
      <c r="M62" s="9">
        <v>64.510000000000005</v>
      </c>
      <c r="N62" s="9">
        <v>2.81</v>
      </c>
      <c r="O62" s="9">
        <v>13.9</v>
      </c>
      <c r="P62" s="9">
        <v>17.8</v>
      </c>
      <c r="Q62" s="9">
        <v>21.73</v>
      </c>
    </row>
    <row r="63" spans="1:17" x14ac:dyDescent="0.25">
      <c r="A63" s="9">
        <v>62</v>
      </c>
      <c r="B63" s="9" t="s">
        <v>81</v>
      </c>
      <c r="C63" s="9" t="s">
        <v>25</v>
      </c>
      <c r="D63" s="10">
        <v>44301</v>
      </c>
      <c r="E63" s="9" t="s">
        <v>26</v>
      </c>
      <c r="F63" s="11">
        <v>3104</v>
      </c>
      <c r="G63" s="12">
        <v>0.14399999999999999</v>
      </c>
      <c r="H63" s="11">
        <v>3103</v>
      </c>
      <c r="I63" s="12">
        <v>0.17899999999999999</v>
      </c>
      <c r="J63" s="11">
        <v>2247</v>
      </c>
      <c r="K63" s="12">
        <v>0.497</v>
      </c>
      <c r="L63" s="11">
        <v>21569</v>
      </c>
      <c r="M63" s="9">
        <v>20.67</v>
      </c>
      <c r="N63" s="9">
        <v>2.4700000000000002</v>
      </c>
      <c r="O63" s="9">
        <v>10.9</v>
      </c>
      <c r="P63" s="9">
        <v>19.8</v>
      </c>
      <c r="Q63" s="9">
        <v>20.98</v>
      </c>
    </row>
    <row r="64" spans="1:17" x14ac:dyDescent="0.25">
      <c r="A64" s="9">
        <v>63</v>
      </c>
      <c r="B64" s="9" t="s">
        <v>82</v>
      </c>
      <c r="C64" s="9" t="s">
        <v>19</v>
      </c>
      <c r="D64" s="10">
        <v>44301</v>
      </c>
      <c r="E64" s="9" t="s">
        <v>26</v>
      </c>
      <c r="F64" s="11">
        <v>1549</v>
      </c>
      <c r="G64" s="12">
        <v>0.10199999999999999</v>
      </c>
      <c r="H64" s="11">
        <v>1549</v>
      </c>
      <c r="I64" s="12">
        <v>0.127</v>
      </c>
      <c r="J64" s="11">
        <v>1089</v>
      </c>
      <c r="K64" s="14">
        <v>0.47</v>
      </c>
      <c r="L64" s="11">
        <v>15237</v>
      </c>
      <c r="M64" s="9">
        <v>62.56</v>
      </c>
      <c r="N64" s="9">
        <v>2.5</v>
      </c>
      <c r="O64" s="9">
        <v>12.4</v>
      </c>
      <c r="P64" s="9">
        <v>22</v>
      </c>
      <c r="Q64" s="9">
        <v>15.21</v>
      </c>
    </row>
    <row r="65" spans="1:17" x14ac:dyDescent="0.25">
      <c r="A65" s="9">
        <v>64</v>
      </c>
      <c r="B65" s="9" t="s">
        <v>83</v>
      </c>
      <c r="C65" s="9" t="s">
        <v>17</v>
      </c>
      <c r="D65" s="10">
        <v>44301</v>
      </c>
      <c r="E65" s="9">
        <v>214.9</v>
      </c>
      <c r="F65" s="11">
        <v>123387</v>
      </c>
      <c r="G65" s="12">
        <v>0.223</v>
      </c>
      <c r="H65" s="11">
        <v>123352</v>
      </c>
      <c r="I65" s="14">
        <v>0.27</v>
      </c>
      <c r="J65" s="11">
        <v>86443</v>
      </c>
      <c r="K65" s="12">
        <v>0.627</v>
      </c>
      <c r="L65" s="11">
        <v>553284</v>
      </c>
      <c r="M65" s="9">
        <v>502.42</v>
      </c>
      <c r="N65" s="9">
        <v>2.4300000000000002</v>
      </c>
      <c r="O65" s="9">
        <v>12.5</v>
      </c>
      <c r="P65" s="9">
        <v>15.2</v>
      </c>
      <c r="Q65" s="9">
        <v>24.91</v>
      </c>
    </row>
    <row r="66" spans="1:17" x14ac:dyDescent="0.25">
      <c r="A66" s="9">
        <v>65</v>
      </c>
      <c r="B66" s="9" t="s">
        <v>84</v>
      </c>
      <c r="C66" s="9" t="s">
        <v>17</v>
      </c>
      <c r="D66" s="10">
        <v>44301</v>
      </c>
      <c r="E66" s="9">
        <v>115.59</v>
      </c>
      <c r="F66" s="11">
        <v>6189</v>
      </c>
      <c r="G66" s="12">
        <v>0.183</v>
      </c>
      <c r="H66" s="11">
        <v>6185</v>
      </c>
      <c r="I66" s="12">
        <v>0.23100000000000001</v>
      </c>
      <c r="J66" s="11">
        <v>3846</v>
      </c>
      <c r="K66" s="12">
        <v>0.71699999999999997</v>
      </c>
      <c r="L66" s="11">
        <v>33739</v>
      </c>
      <c r="M66" s="9">
        <v>55.64</v>
      </c>
      <c r="N66" s="9">
        <v>2.56</v>
      </c>
      <c r="O66" s="9">
        <v>9</v>
      </c>
      <c r="P66" s="9">
        <v>11.5</v>
      </c>
      <c r="Q66" s="9">
        <v>15.9</v>
      </c>
    </row>
    <row r="67" spans="1:17" x14ac:dyDescent="0.25">
      <c r="A67" s="9">
        <v>66</v>
      </c>
      <c r="B67" s="9" t="s">
        <v>85</v>
      </c>
      <c r="C67" s="9" t="s">
        <v>17</v>
      </c>
      <c r="D67" s="10">
        <v>44301</v>
      </c>
      <c r="E67" s="9">
        <v>199.81</v>
      </c>
      <c r="F67" s="11">
        <v>13543</v>
      </c>
      <c r="G67" s="12">
        <v>0.183</v>
      </c>
      <c r="H67" s="11">
        <v>13539</v>
      </c>
      <c r="I67" s="14">
        <v>0.23</v>
      </c>
      <c r="J67" s="11">
        <v>8819</v>
      </c>
      <c r="K67" s="12">
        <v>0.58899999999999997</v>
      </c>
      <c r="L67" s="11">
        <v>74071</v>
      </c>
      <c r="M67" s="9">
        <v>71.38</v>
      </c>
      <c r="N67" s="9">
        <v>2.42</v>
      </c>
      <c r="O67" s="9">
        <v>13.5</v>
      </c>
      <c r="P67" s="9">
        <v>14.7</v>
      </c>
      <c r="Q67" s="9">
        <v>20.22</v>
      </c>
    </row>
    <row r="68" spans="1:17" x14ac:dyDescent="0.25">
      <c r="A68" s="9">
        <v>67</v>
      </c>
      <c r="B68" s="9" t="s">
        <v>86</v>
      </c>
      <c r="C68" s="9" t="s">
        <v>19</v>
      </c>
      <c r="D68" s="10">
        <v>44301</v>
      </c>
      <c r="E68" s="9">
        <v>66.739999999999995</v>
      </c>
      <c r="F68" s="11">
        <v>2934</v>
      </c>
      <c r="G68" s="12">
        <v>0.115</v>
      </c>
      <c r="H68" s="11">
        <v>2931</v>
      </c>
      <c r="I68" s="12">
        <v>0.14399999999999999</v>
      </c>
      <c r="J68" s="11">
        <v>1942</v>
      </c>
      <c r="K68" s="12">
        <v>0.443</v>
      </c>
      <c r="L68" s="11">
        <v>25473</v>
      </c>
      <c r="M68" s="9">
        <v>43.57</v>
      </c>
      <c r="N68" s="9">
        <v>2.57</v>
      </c>
      <c r="O68" s="9">
        <v>12.8</v>
      </c>
      <c r="P68" s="9">
        <v>22.4</v>
      </c>
      <c r="Q68" s="9">
        <v>17.2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68"/>
  <sheetViews>
    <sheetView workbookViewId="0">
      <selection activeCell="I19" sqref="I19"/>
    </sheetView>
  </sheetViews>
  <sheetFormatPr defaultColWidth="8.625" defaultRowHeight="15" x14ac:dyDescent="0.25"/>
  <cols>
    <col min="1" max="1" width="2.625" style="9" bestFit="1" customWidth="1"/>
    <col min="2" max="2" width="10.75" style="9" bestFit="1" customWidth="1"/>
    <col min="3" max="3" width="19" style="9" bestFit="1" customWidth="1"/>
    <col min="4" max="4" width="12" style="9" bestFit="1" customWidth="1"/>
    <col min="5" max="5" width="12.25" style="9" bestFit="1" customWidth="1"/>
    <col min="6" max="6" width="9.375" style="9" bestFit="1" customWidth="1"/>
    <col min="7" max="7" width="16.375" style="9" bestFit="1" customWidth="1"/>
    <col min="8" max="8" width="11.625" style="9" bestFit="1" customWidth="1"/>
    <col min="9" max="9" width="18.75" style="9" bestFit="1" customWidth="1"/>
    <col min="10" max="10" width="11.625" style="9" bestFit="1" customWidth="1"/>
    <col min="11" max="11" width="18.75" style="9" bestFit="1" customWidth="1"/>
    <col min="12" max="12" width="14.25" style="9" bestFit="1" customWidth="1"/>
    <col min="13" max="13" width="16.25" style="9" bestFit="1" customWidth="1"/>
    <col min="14" max="14" width="10.875" style="9" bestFit="1" customWidth="1"/>
    <col min="15" max="15" width="15.875" style="9" bestFit="1" customWidth="1"/>
    <col min="16" max="16" width="10.75" style="9" bestFit="1" customWidth="1"/>
    <col min="17" max="17" width="7.25" style="9" bestFit="1" customWidth="1"/>
    <col min="18" max="16384" width="8.625" style="9"/>
  </cols>
  <sheetData>
    <row r="1" spans="1:17" x14ac:dyDescent="0.25"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</row>
    <row r="2" spans="1:17" x14ac:dyDescent="0.25">
      <c r="A2" s="9">
        <v>1</v>
      </c>
      <c r="B2" s="9" t="s">
        <v>16</v>
      </c>
      <c r="C2" s="9" t="s">
        <v>17</v>
      </c>
      <c r="D2" s="10">
        <v>44302</v>
      </c>
      <c r="E2" s="9">
        <v>111.88</v>
      </c>
      <c r="F2" s="11">
        <v>68986</v>
      </c>
      <c r="G2" s="12">
        <v>0.25600000000000001</v>
      </c>
      <c r="H2" s="11">
        <v>68935</v>
      </c>
      <c r="I2" s="12">
        <v>0.312</v>
      </c>
      <c r="J2" s="11">
        <v>30496</v>
      </c>
      <c r="K2" s="12">
        <v>0.77700000000000002</v>
      </c>
      <c r="L2" s="11">
        <v>269043</v>
      </c>
      <c r="M2" s="9">
        <v>307.29000000000002</v>
      </c>
      <c r="N2" s="9">
        <v>2.54</v>
      </c>
      <c r="O2" s="9">
        <v>9.1999999999999993</v>
      </c>
      <c r="P2" s="9">
        <v>21.8</v>
      </c>
      <c r="Q2" s="9">
        <v>14.6</v>
      </c>
    </row>
    <row r="3" spans="1:17" x14ac:dyDescent="0.25">
      <c r="A3" s="9">
        <v>2</v>
      </c>
      <c r="B3" s="9" t="s">
        <v>18</v>
      </c>
      <c r="C3" s="9" t="s">
        <v>19</v>
      </c>
      <c r="D3" s="10">
        <v>44302</v>
      </c>
      <c r="E3" s="9">
        <v>75.319999999999993</v>
      </c>
      <c r="F3" s="11">
        <v>3426</v>
      </c>
      <c r="G3" s="12">
        <v>0.11700000000000001</v>
      </c>
      <c r="H3" s="11">
        <v>3426</v>
      </c>
      <c r="I3" s="12">
        <v>0.154</v>
      </c>
      <c r="J3" s="11">
        <v>2174</v>
      </c>
      <c r="K3" s="12">
        <v>0.52800000000000002</v>
      </c>
      <c r="L3" s="11">
        <v>29210</v>
      </c>
      <c r="M3" s="9">
        <v>49.91</v>
      </c>
      <c r="N3" s="9">
        <v>2.92</v>
      </c>
      <c r="O3" s="9">
        <v>12.5</v>
      </c>
      <c r="P3" s="9">
        <v>14.6</v>
      </c>
      <c r="Q3" s="9">
        <v>14.09</v>
      </c>
    </row>
    <row r="4" spans="1:17" x14ac:dyDescent="0.25">
      <c r="A4" s="9">
        <v>3</v>
      </c>
      <c r="B4" s="9" t="s">
        <v>20</v>
      </c>
      <c r="C4" s="9" t="s">
        <v>19</v>
      </c>
      <c r="D4" s="10">
        <v>44302</v>
      </c>
      <c r="E4" s="9">
        <v>95.02</v>
      </c>
      <c r="F4" s="11">
        <v>35060</v>
      </c>
      <c r="G4" s="12">
        <v>0.20100000000000001</v>
      </c>
      <c r="H4" s="11">
        <v>35040</v>
      </c>
      <c r="I4" s="12">
        <v>0.253</v>
      </c>
      <c r="J4" s="11">
        <v>18749</v>
      </c>
      <c r="K4" s="12">
        <v>0.57599999999999996</v>
      </c>
      <c r="L4" s="11">
        <v>174705</v>
      </c>
      <c r="M4" s="9">
        <v>230.3</v>
      </c>
      <c r="N4" s="9">
        <v>2.57</v>
      </c>
      <c r="O4" s="9">
        <v>14.2</v>
      </c>
      <c r="P4" s="9">
        <v>14.7</v>
      </c>
      <c r="Q4" s="9">
        <v>18.62</v>
      </c>
    </row>
    <row r="5" spans="1:17" x14ac:dyDescent="0.25">
      <c r="A5" s="9">
        <v>4</v>
      </c>
      <c r="B5" s="9" t="s">
        <v>21</v>
      </c>
      <c r="C5" s="9" t="s">
        <v>25</v>
      </c>
      <c r="D5" s="10">
        <v>44302</v>
      </c>
      <c r="E5" s="9">
        <v>42.55</v>
      </c>
      <c r="F5" s="11">
        <v>3695</v>
      </c>
      <c r="G5" s="12">
        <v>0.13100000000000001</v>
      </c>
      <c r="H5" s="11">
        <v>3695</v>
      </c>
      <c r="I5" s="12">
        <v>0.16300000000000001</v>
      </c>
      <c r="J5" s="11">
        <v>2502</v>
      </c>
      <c r="K5" s="12">
        <v>0.49399999999999999</v>
      </c>
      <c r="L5" s="11">
        <v>28201</v>
      </c>
      <c r="M5" s="9">
        <v>95.93</v>
      </c>
      <c r="N5" s="9">
        <v>2.6</v>
      </c>
      <c r="O5" s="9">
        <v>12.4</v>
      </c>
      <c r="P5" s="9">
        <v>20.3</v>
      </c>
      <c r="Q5" s="9">
        <v>17.96</v>
      </c>
    </row>
    <row r="6" spans="1:17" x14ac:dyDescent="0.25">
      <c r="A6" s="9">
        <v>5</v>
      </c>
      <c r="B6" s="9" t="s">
        <v>22</v>
      </c>
      <c r="C6" s="9" t="s">
        <v>17</v>
      </c>
      <c r="D6" s="10">
        <v>44302</v>
      </c>
      <c r="E6" s="9">
        <v>147.52000000000001</v>
      </c>
      <c r="F6" s="11">
        <v>135782</v>
      </c>
      <c r="G6" s="12">
        <v>0.22600000000000001</v>
      </c>
      <c r="H6" s="11">
        <v>135716</v>
      </c>
      <c r="I6" s="12">
        <v>0.27500000000000002</v>
      </c>
      <c r="J6" s="11">
        <v>88342</v>
      </c>
      <c r="K6" s="12">
        <v>0.60599999999999998</v>
      </c>
      <c r="L6" s="11">
        <v>601942</v>
      </c>
      <c r="M6" s="9">
        <v>593.05999999999995</v>
      </c>
      <c r="N6" s="9">
        <v>2.4900000000000002</v>
      </c>
      <c r="O6" s="9">
        <v>10.8</v>
      </c>
      <c r="P6" s="9">
        <v>12.7</v>
      </c>
      <c r="Q6" s="9">
        <v>24.21</v>
      </c>
    </row>
    <row r="7" spans="1:17" x14ac:dyDescent="0.25">
      <c r="A7" s="9">
        <v>6</v>
      </c>
      <c r="B7" s="9" t="s">
        <v>23</v>
      </c>
      <c r="C7" s="9" t="s">
        <v>17</v>
      </c>
      <c r="D7" s="10">
        <v>44302</v>
      </c>
      <c r="E7" s="9">
        <v>284.72000000000003</v>
      </c>
      <c r="F7" s="11">
        <v>428489</v>
      </c>
      <c r="G7" s="12">
        <v>0.219</v>
      </c>
      <c r="H7" s="11">
        <v>427780</v>
      </c>
      <c r="I7" s="12">
        <v>0.27700000000000002</v>
      </c>
      <c r="J7" s="11">
        <v>214454</v>
      </c>
      <c r="K7" s="12">
        <v>0.64100000000000001</v>
      </c>
      <c r="L7" s="11">
        <v>1952778</v>
      </c>
      <c r="M7" s="13">
        <v>1623.5</v>
      </c>
      <c r="N7" s="9">
        <v>2.77</v>
      </c>
      <c r="O7" s="9">
        <v>14.6</v>
      </c>
      <c r="P7" s="9">
        <v>13.5</v>
      </c>
      <c r="Q7" s="9">
        <v>17.13</v>
      </c>
    </row>
    <row r="8" spans="1:17" x14ac:dyDescent="0.25">
      <c r="A8" s="9">
        <v>7</v>
      </c>
      <c r="B8" s="9" t="s">
        <v>24</v>
      </c>
      <c r="C8" s="9" t="s">
        <v>25</v>
      </c>
      <c r="D8" s="10">
        <v>44302</v>
      </c>
      <c r="E8" s="9" t="s">
        <v>26</v>
      </c>
      <c r="F8" s="11">
        <v>2002</v>
      </c>
      <c r="G8" s="12">
        <v>0.14199999999999999</v>
      </c>
      <c r="H8" s="11">
        <v>2002</v>
      </c>
      <c r="I8" s="12">
        <v>0.17699999999999999</v>
      </c>
      <c r="J8" s="11">
        <v>1356</v>
      </c>
      <c r="K8" s="12">
        <v>0.50800000000000001</v>
      </c>
      <c r="L8" s="11">
        <v>14105</v>
      </c>
      <c r="M8" s="9">
        <v>24.86</v>
      </c>
      <c r="N8" s="9">
        <v>2.73</v>
      </c>
      <c r="O8" s="9">
        <v>18.3</v>
      </c>
      <c r="P8" s="9">
        <v>12.2</v>
      </c>
      <c r="Q8" s="9">
        <v>18.93</v>
      </c>
    </row>
    <row r="9" spans="1:17" x14ac:dyDescent="0.25">
      <c r="A9" s="9">
        <v>8</v>
      </c>
      <c r="B9" s="9" t="s">
        <v>27</v>
      </c>
      <c r="C9" s="9" t="s">
        <v>17</v>
      </c>
      <c r="D9" s="10">
        <v>44302</v>
      </c>
      <c r="E9" s="9">
        <v>156.69</v>
      </c>
      <c r="F9" s="11">
        <v>59861</v>
      </c>
      <c r="G9" s="12">
        <v>0.317</v>
      </c>
      <c r="H9" s="11">
        <v>59836</v>
      </c>
      <c r="I9" s="12">
        <v>0.35899999999999999</v>
      </c>
      <c r="J9" s="11">
        <v>48935</v>
      </c>
      <c r="K9" s="12">
        <v>0.63500000000000001</v>
      </c>
      <c r="L9" s="11">
        <v>188910</v>
      </c>
      <c r="M9" s="9">
        <v>277.36</v>
      </c>
      <c r="N9" s="9">
        <v>2.2799999999999998</v>
      </c>
      <c r="O9" s="9">
        <v>11.3</v>
      </c>
      <c r="P9" s="9">
        <v>11.1</v>
      </c>
      <c r="Q9" s="9">
        <v>40.799999999999997</v>
      </c>
    </row>
    <row r="10" spans="1:17" x14ac:dyDescent="0.25">
      <c r="A10" s="9">
        <v>9</v>
      </c>
      <c r="B10" s="9" t="s">
        <v>28</v>
      </c>
      <c r="C10" s="9" t="s">
        <v>19</v>
      </c>
      <c r="D10" s="10">
        <v>44302</v>
      </c>
      <c r="E10" s="9">
        <v>86.87</v>
      </c>
      <c r="F10" s="11">
        <v>38975</v>
      </c>
      <c r="G10" s="14">
        <v>0.26</v>
      </c>
      <c r="H10" s="11">
        <v>38969</v>
      </c>
      <c r="I10" s="12">
        <v>0.30499999999999999</v>
      </c>
      <c r="J10" s="11">
        <v>32213</v>
      </c>
      <c r="K10" s="12">
        <v>0.58599999999999997</v>
      </c>
      <c r="L10" s="11">
        <v>149657</v>
      </c>
      <c r="M10" s="9">
        <v>257.18</v>
      </c>
      <c r="N10" s="9">
        <v>2.2400000000000002</v>
      </c>
      <c r="O10" s="9">
        <v>10.4</v>
      </c>
      <c r="P10" s="9">
        <v>16.7</v>
      </c>
      <c r="Q10" s="9">
        <v>36.71</v>
      </c>
    </row>
    <row r="11" spans="1:17" x14ac:dyDescent="0.25">
      <c r="A11" s="9">
        <v>10</v>
      </c>
      <c r="B11" s="9" t="s">
        <v>29</v>
      </c>
      <c r="C11" s="9" t="s">
        <v>17</v>
      </c>
      <c r="D11" s="10">
        <v>44302</v>
      </c>
      <c r="E11" s="9">
        <v>107.18</v>
      </c>
      <c r="F11" s="11">
        <v>36953</v>
      </c>
      <c r="G11" s="12">
        <v>0.16900000000000001</v>
      </c>
      <c r="H11" s="11">
        <v>36926</v>
      </c>
      <c r="I11" s="12">
        <v>0.219</v>
      </c>
      <c r="J11" s="11">
        <v>20279</v>
      </c>
      <c r="K11" s="12">
        <v>0.56599999999999995</v>
      </c>
      <c r="L11" s="11">
        <v>219252</v>
      </c>
      <c r="M11" s="9">
        <v>362.63</v>
      </c>
      <c r="N11" s="9">
        <v>2.81</v>
      </c>
      <c r="O11" s="9">
        <v>10.4</v>
      </c>
      <c r="P11" s="9">
        <v>10.6</v>
      </c>
      <c r="Q11" s="9">
        <v>16.350000000000001</v>
      </c>
    </row>
    <row r="12" spans="1:17" x14ac:dyDescent="0.25">
      <c r="A12" s="9">
        <v>11</v>
      </c>
      <c r="B12" s="9" t="s">
        <v>30</v>
      </c>
      <c r="C12" s="9" t="s">
        <v>17</v>
      </c>
      <c r="D12" s="10">
        <v>44302</v>
      </c>
      <c r="E12" s="9">
        <v>190.18</v>
      </c>
      <c r="F12" s="11">
        <v>112156</v>
      </c>
      <c r="G12" s="12">
        <v>0.29099999999999998</v>
      </c>
      <c r="H12" s="11">
        <v>112123</v>
      </c>
      <c r="I12" s="14">
        <v>0.35</v>
      </c>
      <c r="J12" s="11">
        <v>87844</v>
      </c>
      <c r="K12" s="12">
        <v>0.69299999999999995</v>
      </c>
      <c r="L12" s="11">
        <v>384902</v>
      </c>
      <c r="M12" s="9">
        <v>192.75</v>
      </c>
      <c r="N12" s="9">
        <v>2.5499999999999998</v>
      </c>
      <c r="O12" s="9">
        <v>16.5</v>
      </c>
      <c r="P12" s="9">
        <v>12.3</v>
      </c>
      <c r="Q12" s="9">
        <v>32.92</v>
      </c>
    </row>
    <row r="13" spans="1:17" x14ac:dyDescent="0.25">
      <c r="A13" s="9">
        <v>12</v>
      </c>
      <c r="B13" s="9" t="s">
        <v>31</v>
      </c>
      <c r="C13" s="9" t="s">
        <v>19</v>
      </c>
      <c r="D13" s="10">
        <v>44302</v>
      </c>
      <c r="E13" s="9">
        <v>94.86</v>
      </c>
      <c r="F13" s="11">
        <v>12003</v>
      </c>
      <c r="G13" s="12">
        <v>0.16700000000000001</v>
      </c>
      <c r="H13" s="11">
        <v>12000</v>
      </c>
      <c r="I13" s="12">
        <v>0.21299999999999999</v>
      </c>
      <c r="J13" s="11">
        <v>7625</v>
      </c>
      <c r="K13" s="12">
        <v>0.55200000000000005</v>
      </c>
      <c r="L13" s="11">
        <v>71686</v>
      </c>
      <c r="M13" s="9">
        <v>89.88</v>
      </c>
      <c r="N13" s="9">
        <v>2.57</v>
      </c>
      <c r="O13" s="9">
        <v>12.4</v>
      </c>
      <c r="P13" s="9">
        <v>17.399999999999999</v>
      </c>
      <c r="Q13" s="9">
        <v>19.260000000000002</v>
      </c>
    </row>
    <row r="14" spans="1:17" x14ac:dyDescent="0.25">
      <c r="A14" s="9">
        <v>13</v>
      </c>
      <c r="B14" s="9" t="s">
        <v>32</v>
      </c>
      <c r="C14" s="9" t="s">
        <v>17</v>
      </c>
      <c r="D14" s="10">
        <v>44302</v>
      </c>
      <c r="E14" s="9">
        <v>171.05</v>
      </c>
      <c r="F14" s="11">
        <v>5576</v>
      </c>
      <c r="G14" s="12">
        <v>0.14699999999999999</v>
      </c>
      <c r="H14" s="11">
        <v>5576</v>
      </c>
      <c r="I14" s="12">
        <v>0.18099999999999999</v>
      </c>
      <c r="J14" s="11">
        <v>4225</v>
      </c>
      <c r="K14" s="12">
        <v>0.49399999999999999</v>
      </c>
      <c r="L14" s="11">
        <v>38001</v>
      </c>
      <c r="M14" s="9">
        <v>59.68</v>
      </c>
      <c r="N14" s="9">
        <v>2.74</v>
      </c>
      <c r="O14" s="9">
        <v>18.399999999999999</v>
      </c>
      <c r="P14" s="9">
        <v>28.5</v>
      </c>
      <c r="Q14" s="9">
        <v>22.52</v>
      </c>
    </row>
    <row r="15" spans="1:17" x14ac:dyDescent="0.25">
      <c r="A15" s="9">
        <v>14</v>
      </c>
      <c r="B15" s="9" t="s">
        <v>33</v>
      </c>
      <c r="C15" s="9" t="s">
        <v>19</v>
      </c>
      <c r="D15" s="10">
        <v>44302</v>
      </c>
      <c r="E15" s="9">
        <v>65.38</v>
      </c>
      <c r="F15" s="11">
        <v>2372</v>
      </c>
      <c r="G15" s="12">
        <v>0.14099999999999999</v>
      </c>
      <c r="H15" s="11">
        <v>2372</v>
      </c>
      <c r="I15" s="12">
        <v>0.17199999999999999</v>
      </c>
      <c r="J15" s="11">
        <v>1835</v>
      </c>
      <c r="K15" s="12">
        <v>0.46100000000000002</v>
      </c>
      <c r="L15" s="11">
        <v>16826</v>
      </c>
      <c r="M15" s="9">
        <v>23.86</v>
      </c>
      <c r="N15" s="9">
        <v>2.2799999999999998</v>
      </c>
      <c r="O15" s="9">
        <v>17.2</v>
      </c>
      <c r="P15" s="9">
        <v>23.1</v>
      </c>
      <c r="Q15" s="9">
        <v>23.68</v>
      </c>
    </row>
    <row r="16" spans="1:17" x14ac:dyDescent="0.25">
      <c r="A16" s="9">
        <v>15</v>
      </c>
      <c r="B16" s="9" t="s">
        <v>34</v>
      </c>
      <c r="C16" s="9" t="s">
        <v>17</v>
      </c>
      <c r="D16" s="10">
        <v>44302</v>
      </c>
      <c r="E16" s="9">
        <v>125.71</v>
      </c>
      <c r="F16" s="11">
        <v>212374</v>
      </c>
      <c r="G16" s="12">
        <v>0.222</v>
      </c>
      <c r="H16" s="11">
        <v>212187</v>
      </c>
      <c r="I16" s="12">
        <v>0.28599999999999998</v>
      </c>
      <c r="J16" s="11">
        <v>95565</v>
      </c>
      <c r="K16" s="14">
        <v>0.69</v>
      </c>
      <c r="L16" s="11">
        <v>957755</v>
      </c>
      <c r="M16" s="13">
        <v>1255.8599999999999</v>
      </c>
      <c r="N16" s="9">
        <v>2.5499999999999998</v>
      </c>
      <c r="O16" s="9">
        <v>12</v>
      </c>
      <c r="P16" s="9">
        <v>15.5</v>
      </c>
      <c r="Q16" s="9">
        <v>14.47</v>
      </c>
    </row>
    <row r="17" spans="1:17" x14ac:dyDescent="0.25">
      <c r="A17" s="9">
        <v>16</v>
      </c>
      <c r="B17" s="9" t="s">
        <v>35</v>
      </c>
      <c r="C17" s="9" t="s">
        <v>19</v>
      </c>
      <c r="D17" s="10">
        <v>44302</v>
      </c>
      <c r="E17" s="9">
        <v>83.88</v>
      </c>
      <c r="F17" s="11">
        <v>66369</v>
      </c>
      <c r="G17" s="12">
        <v>0.20899999999999999</v>
      </c>
      <c r="H17" s="11">
        <v>66340</v>
      </c>
      <c r="I17" s="12">
        <v>0.26300000000000001</v>
      </c>
      <c r="J17" s="11">
        <v>35015</v>
      </c>
      <c r="K17" s="12">
        <v>0.64200000000000002</v>
      </c>
      <c r="L17" s="11">
        <v>318316</v>
      </c>
      <c r="M17" s="9">
        <v>484.52</v>
      </c>
      <c r="N17" s="9">
        <v>2.4700000000000002</v>
      </c>
      <c r="O17" s="9">
        <v>10.199999999999999</v>
      </c>
      <c r="P17" s="9">
        <v>13.9</v>
      </c>
      <c r="Q17" s="9">
        <v>17.14</v>
      </c>
    </row>
    <row r="18" spans="1:17" x14ac:dyDescent="0.25">
      <c r="A18" s="9">
        <v>17</v>
      </c>
      <c r="B18" s="9" t="s">
        <v>36</v>
      </c>
      <c r="C18" s="9" t="s">
        <v>17</v>
      </c>
      <c r="D18" s="10">
        <v>44302</v>
      </c>
      <c r="E18" s="9">
        <v>117.31</v>
      </c>
      <c r="F18" s="11">
        <v>32308</v>
      </c>
      <c r="G18" s="12">
        <v>0.28100000000000003</v>
      </c>
      <c r="H18" s="11">
        <v>32299</v>
      </c>
      <c r="I18" s="12">
        <v>0.33700000000000002</v>
      </c>
      <c r="J18" s="11">
        <v>24312</v>
      </c>
      <c r="K18" s="12">
        <v>0.67700000000000005</v>
      </c>
      <c r="L18" s="11">
        <v>115081</v>
      </c>
      <c r="M18" s="9">
        <v>237.21</v>
      </c>
      <c r="N18" s="9">
        <v>2.62</v>
      </c>
      <c r="O18" s="9">
        <v>12.7</v>
      </c>
      <c r="P18" s="9">
        <v>11.9</v>
      </c>
      <c r="Q18" s="9">
        <v>31.19</v>
      </c>
    </row>
    <row r="19" spans="1:17" x14ac:dyDescent="0.25">
      <c r="A19" s="9">
        <v>18</v>
      </c>
      <c r="B19" s="9" t="s">
        <v>37</v>
      </c>
      <c r="C19" s="9" t="s">
        <v>17</v>
      </c>
      <c r="D19" s="10">
        <v>44302</v>
      </c>
      <c r="E19" s="9" t="s">
        <v>26</v>
      </c>
      <c r="F19" s="11">
        <v>2862</v>
      </c>
      <c r="G19" s="12">
        <v>0.23599999999999999</v>
      </c>
      <c r="H19" s="11">
        <v>2862</v>
      </c>
      <c r="I19" s="12">
        <v>0.27900000000000003</v>
      </c>
      <c r="J19" s="11">
        <v>2038</v>
      </c>
      <c r="K19" s="12">
        <v>0.69699999999999995</v>
      </c>
      <c r="L19" s="11">
        <v>12125</v>
      </c>
      <c r="M19" s="9">
        <v>22.24</v>
      </c>
      <c r="N19" s="9">
        <v>2.35</v>
      </c>
      <c r="O19" s="9">
        <v>18.3</v>
      </c>
      <c r="P19" s="9">
        <v>20.7</v>
      </c>
      <c r="Q19" s="9">
        <v>24.13</v>
      </c>
    </row>
    <row r="20" spans="1:17" x14ac:dyDescent="0.25">
      <c r="A20" s="9">
        <v>19</v>
      </c>
      <c r="B20" s="9" t="s">
        <v>38</v>
      </c>
      <c r="C20" s="9" t="s">
        <v>19</v>
      </c>
      <c r="D20" s="10">
        <v>44302</v>
      </c>
      <c r="E20" s="9">
        <v>61.32</v>
      </c>
      <c r="F20" s="11">
        <v>10964</v>
      </c>
      <c r="G20" s="14">
        <v>0.24</v>
      </c>
      <c r="H20" s="11">
        <v>10958</v>
      </c>
      <c r="I20" s="12">
        <v>0.30599999999999999</v>
      </c>
      <c r="J20" s="11">
        <v>5847</v>
      </c>
      <c r="K20" s="12">
        <v>0.68500000000000005</v>
      </c>
      <c r="L20" s="11">
        <v>45660</v>
      </c>
      <c r="M20" s="9">
        <v>88.44</v>
      </c>
      <c r="N20" s="9">
        <v>2.4700000000000002</v>
      </c>
      <c r="O20" s="9">
        <v>14.9</v>
      </c>
      <c r="P20" s="9">
        <v>24.6</v>
      </c>
      <c r="Q20" s="9">
        <v>18.7</v>
      </c>
    </row>
    <row r="21" spans="1:17" x14ac:dyDescent="0.25">
      <c r="A21" s="9">
        <v>20</v>
      </c>
      <c r="B21" s="9" t="s">
        <v>39</v>
      </c>
      <c r="C21" s="9" t="s">
        <v>17</v>
      </c>
      <c r="D21" s="10">
        <v>44302</v>
      </c>
      <c r="E21" s="9">
        <v>204.5</v>
      </c>
      <c r="F21" s="11">
        <v>2625</v>
      </c>
      <c r="G21" s="12">
        <v>0.14099999999999999</v>
      </c>
      <c r="H21" s="11">
        <v>2623</v>
      </c>
      <c r="I21" s="12">
        <v>0.17599999999999999</v>
      </c>
      <c r="J21" s="11">
        <v>1796</v>
      </c>
      <c r="K21" s="12">
        <v>0.46800000000000003</v>
      </c>
      <c r="L21" s="11">
        <v>18582</v>
      </c>
      <c r="M21" s="9">
        <v>53.14</v>
      </c>
      <c r="N21" s="9">
        <v>2.5</v>
      </c>
      <c r="O21" s="9">
        <v>18.100000000000001</v>
      </c>
      <c r="P21" s="9">
        <v>17.899999999999999</v>
      </c>
      <c r="Q21" s="9">
        <v>20.65</v>
      </c>
    </row>
    <row r="22" spans="1:17" x14ac:dyDescent="0.25">
      <c r="A22" s="9">
        <v>21</v>
      </c>
      <c r="B22" s="9" t="s">
        <v>40</v>
      </c>
      <c r="C22" s="9" t="s">
        <v>25</v>
      </c>
      <c r="D22" s="10">
        <v>44302</v>
      </c>
      <c r="E22" s="9" t="s">
        <v>26</v>
      </c>
      <c r="F22" s="11">
        <v>1748</v>
      </c>
      <c r="G22" s="12">
        <v>0.127</v>
      </c>
      <c r="H22" s="11">
        <v>1748</v>
      </c>
      <c r="I22" s="12">
        <v>0.14799999999999999</v>
      </c>
      <c r="J22" s="11">
        <v>1317</v>
      </c>
      <c r="K22" s="12">
        <v>0.34599999999999997</v>
      </c>
      <c r="L22" s="11">
        <v>13811</v>
      </c>
      <c r="M22" s="9">
        <v>17.12</v>
      </c>
      <c r="N22" s="9">
        <v>2.71</v>
      </c>
      <c r="O22" s="9">
        <v>19.899999999999999</v>
      </c>
      <c r="P22" s="9">
        <v>17</v>
      </c>
      <c r="Q22" s="9">
        <v>27.57</v>
      </c>
    </row>
    <row r="23" spans="1:17" x14ac:dyDescent="0.25">
      <c r="A23" s="9">
        <v>22</v>
      </c>
      <c r="B23" s="9" t="s">
        <v>41</v>
      </c>
      <c r="C23" s="9" t="s">
        <v>25</v>
      </c>
      <c r="D23" s="10">
        <v>44302</v>
      </c>
      <c r="E23" s="9" t="s">
        <v>26</v>
      </c>
      <c r="F23" s="11">
        <v>3049</v>
      </c>
      <c r="G23" s="12">
        <v>0.224</v>
      </c>
      <c r="H23" s="11">
        <v>3049</v>
      </c>
      <c r="I23" s="12">
        <v>0.27400000000000002</v>
      </c>
      <c r="J23" s="11">
        <v>2270</v>
      </c>
      <c r="K23" s="12">
        <v>0.628</v>
      </c>
      <c r="L23" s="11">
        <v>13639</v>
      </c>
      <c r="M23" s="9">
        <v>24.64</v>
      </c>
      <c r="N23" s="9">
        <v>2.5499999999999998</v>
      </c>
      <c r="O23" s="9">
        <v>11.4</v>
      </c>
      <c r="P23" s="9">
        <v>13.9</v>
      </c>
      <c r="Q23" s="9">
        <v>26.5</v>
      </c>
    </row>
    <row r="24" spans="1:17" x14ac:dyDescent="0.25">
      <c r="A24" s="9">
        <v>23</v>
      </c>
      <c r="B24" s="9" t="s">
        <v>42</v>
      </c>
      <c r="C24" s="9" t="s">
        <v>19</v>
      </c>
      <c r="D24" s="10">
        <v>44302</v>
      </c>
      <c r="E24" s="9" t="s">
        <v>26</v>
      </c>
      <c r="F24" s="11">
        <v>2181</v>
      </c>
      <c r="G24" s="12">
        <v>0.151</v>
      </c>
      <c r="H24" s="11">
        <v>2181</v>
      </c>
      <c r="I24" s="12">
        <v>0.187</v>
      </c>
      <c r="J24" s="11">
        <v>1497</v>
      </c>
      <c r="K24" s="12">
        <v>0.56200000000000006</v>
      </c>
      <c r="L24" s="11">
        <v>14428</v>
      </c>
      <c r="M24" s="9">
        <v>28.08</v>
      </c>
      <c r="N24" s="9">
        <v>2.44</v>
      </c>
      <c r="O24" s="9">
        <v>14.3</v>
      </c>
      <c r="P24" s="9">
        <v>29.5</v>
      </c>
      <c r="Q24" s="9">
        <v>18.46</v>
      </c>
    </row>
    <row r="25" spans="1:17" x14ac:dyDescent="0.25">
      <c r="A25" s="9">
        <v>24</v>
      </c>
      <c r="B25" s="9" t="s">
        <v>43</v>
      </c>
      <c r="C25" s="9" t="s">
        <v>17</v>
      </c>
      <c r="D25" s="10">
        <v>44302</v>
      </c>
      <c r="E25" s="9">
        <v>152.21</v>
      </c>
      <c r="F25" s="11">
        <v>3084</v>
      </c>
      <c r="G25" s="12">
        <v>0.114</v>
      </c>
      <c r="H25" s="11">
        <v>3083</v>
      </c>
      <c r="I25" s="12">
        <v>0.154</v>
      </c>
      <c r="J25" s="11">
        <v>2323</v>
      </c>
      <c r="K25" s="12">
        <v>0.495</v>
      </c>
      <c r="L25" s="11">
        <v>26937</v>
      </c>
      <c r="M25" s="9">
        <v>42.25</v>
      </c>
      <c r="N25" s="9">
        <v>3.22</v>
      </c>
      <c r="O25" s="9">
        <v>12.2</v>
      </c>
      <c r="P25" s="9">
        <v>26.7</v>
      </c>
      <c r="Q25" s="9">
        <v>17.43</v>
      </c>
    </row>
    <row r="26" spans="1:17" x14ac:dyDescent="0.25">
      <c r="A26" s="9">
        <v>25</v>
      </c>
      <c r="B26" s="9" t="s">
        <v>44</v>
      </c>
      <c r="C26" s="9" t="s">
        <v>17</v>
      </c>
      <c r="D26" s="10">
        <v>44302</v>
      </c>
      <c r="E26" s="9">
        <v>133.26</v>
      </c>
      <c r="F26" s="11">
        <v>5826</v>
      </c>
      <c r="G26" s="12">
        <v>0.13900000000000001</v>
      </c>
      <c r="H26" s="11">
        <v>5823</v>
      </c>
      <c r="I26" s="12">
        <v>0.189</v>
      </c>
      <c r="J26" s="11">
        <v>3495</v>
      </c>
      <c r="K26" s="12">
        <v>0.60499999999999998</v>
      </c>
      <c r="L26" s="11">
        <v>42022</v>
      </c>
      <c r="M26" s="9">
        <v>36.340000000000003</v>
      </c>
      <c r="N26" s="9">
        <v>3.17</v>
      </c>
      <c r="O26" s="9">
        <v>26.2</v>
      </c>
      <c r="P26" s="9">
        <v>26.8</v>
      </c>
      <c r="Q26" s="9">
        <v>13.75</v>
      </c>
    </row>
    <row r="27" spans="1:17" x14ac:dyDescent="0.25">
      <c r="A27" s="9">
        <v>26</v>
      </c>
      <c r="B27" s="9" t="s">
        <v>45</v>
      </c>
      <c r="C27" s="9" t="s">
        <v>17</v>
      </c>
      <c r="D27" s="10">
        <v>44302</v>
      </c>
      <c r="E27" s="9">
        <v>145.94</v>
      </c>
      <c r="F27" s="11">
        <v>41106</v>
      </c>
      <c r="G27" s="12">
        <v>0.21199999999999999</v>
      </c>
      <c r="H27" s="11">
        <v>41088</v>
      </c>
      <c r="I27" s="12">
        <v>0.25900000000000001</v>
      </c>
      <c r="J27" s="11">
        <v>30218</v>
      </c>
      <c r="K27" s="12">
        <v>0.56599999999999995</v>
      </c>
      <c r="L27" s="11">
        <v>193920</v>
      </c>
      <c r="M27" s="9">
        <v>410.01</v>
      </c>
      <c r="N27" s="9">
        <v>2.46</v>
      </c>
      <c r="O27" s="9">
        <v>12.6</v>
      </c>
      <c r="P27" s="9">
        <v>14.3</v>
      </c>
      <c r="Q27" s="9">
        <v>27.51</v>
      </c>
    </row>
    <row r="28" spans="1:17" x14ac:dyDescent="0.25">
      <c r="A28" s="9">
        <v>27</v>
      </c>
      <c r="B28" s="9" t="s">
        <v>46</v>
      </c>
      <c r="C28" s="9" t="s">
        <v>17</v>
      </c>
      <c r="D28" s="10">
        <v>44302</v>
      </c>
      <c r="E28" s="9">
        <v>146.86000000000001</v>
      </c>
      <c r="F28" s="11">
        <v>23264</v>
      </c>
      <c r="G28" s="12">
        <v>0.219</v>
      </c>
      <c r="H28" s="11">
        <v>23263</v>
      </c>
      <c r="I28" s="12">
        <v>0.26300000000000001</v>
      </c>
      <c r="J28" s="11">
        <v>18987</v>
      </c>
      <c r="K28" s="12">
        <v>0.496</v>
      </c>
      <c r="L28" s="11">
        <v>106221</v>
      </c>
      <c r="M28" s="9">
        <v>104.38</v>
      </c>
      <c r="N28" s="9">
        <v>2.44</v>
      </c>
      <c r="O28" s="9">
        <v>12.7</v>
      </c>
      <c r="P28" s="9">
        <v>19.2</v>
      </c>
      <c r="Q28" s="9">
        <v>36.049999999999997</v>
      </c>
    </row>
    <row r="29" spans="1:17" x14ac:dyDescent="0.25">
      <c r="A29" s="9">
        <v>28</v>
      </c>
      <c r="B29" s="9" t="s">
        <v>47</v>
      </c>
      <c r="C29" s="9" t="s">
        <v>17</v>
      </c>
      <c r="D29" s="10">
        <v>44302</v>
      </c>
      <c r="E29" s="9">
        <v>226.43</v>
      </c>
      <c r="F29" s="11">
        <v>289417</v>
      </c>
      <c r="G29" s="12">
        <v>0.19700000000000001</v>
      </c>
      <c r="H29" s="11">
        <v>289185</v>
      </c>
      <c r="I29" s="12">
        <v>0.252</v>
      </c>
      <c r="J29" s="11">
        <v>125864</v>
      </c>
      <c r="K29" s="12">
        <v>0.58799999999999997</v>
      </c>
      <c r="L29" s="11">
        <v>1471968</v>
      </c>
      <c r="M29" s="13">
        <v>1440.39</v>
      </c>
      <c r="N29" s="9">
        <v>2.63</v>
      </c>
      <c r="O29" s="9">
        <v>13</v>
      </c>
      <c r="P29" s="9">
        <v>15.3</v>
      </c>
      <c r="Q29" s="9">
        <v>14.54</v>
      </c>
    </row>
    <row r="30" spans="1:17" x14ac:dyDescent="0.25">
      <c r="A30" s="9">
        <v>29</v>
      </c>
      <c r="B30" s="9" t="s">
        <v>48</v>
      </c>
      <c r="C30" s="9" t="s">
        <v>25</v>
      </c>
      <c r="D30" s="10">
        <v>44302</v>
      </c>
      <c r="E30" s="9" t="s">
        <v>26</v>
      </c>
      <c r="F30" s="11">
        <v>2487</v>
      </c>
      <c r="G30" s="12">
        <v>0.127</v>
      </c>
      <c r="H30" s="11">
        <v>2486</v>
      </c>
      <c r="I30" s="12">
        <v>0.159</v>
      </c>
      <c r="J30" s="11">
        <v>1695</v>
      </c>
      <c r="K30" s="12">
        <v>0.432</v>
      </c>
      <c r="L30" s="11">
        <v>19617</v>
      </c>
      <c r="M30" s="9">
        <v>40.97</v>
      </c>
      <c r="N30" s="9">
        <v>2.5099999999999998</v>
      </c>
      <c r="O30" s="9">
        <v>18.899999999999999</v>
      </c>
      <c r="P30" s="9">
        <v>25.6</v>
      </c>
      <c r="Q30" s="9">
        <v>19.989999999999998</v>
      </c>
    </row>
    <row r="31" spans="1:17" x14ac:dyDescent="0.25">
      <c r="A31" s="9">
        <v>30</v>
      </c>
      <c r="B31" s="9" t="s">
        <v>49</v>
      </c>
      <c r="C31" s="9" t="s">
        <v>17</v>
      </c>
      <c r="D31" s="10">
        <v>44302</v>
      </c>
      <c r="E31" s="9">
        <v>113.18</v>
      </c>
      <c r="F31" s="11">
        <v>45775</v>
      </c>
      <c r="G31" s="12">
        <v>0.28599999999999998</v>
      </c>
      <c r="H31" s="11">
        <v>45760</v>
      </c>
      <c r="I31" s="12">
        <v>0.33900000000000002</v>
      </c>
      <c r="J31" s="11">
        <v>35904</v>
      </c>
      <c r="K31" s="12">
        <v>0.66300000000000003</v>
      </c>
      <c r="L31" s="11">
        <v>159923</v>
      </c>
      <c r="M31" s="9">
        <v>318.08</v>
      </c>
      <c r="N31" s="9">
        <v>2.6</v>
      </c>
      <c r="O31" s="9">
        <v>12.1</v>
      </c>
      <c r="P31" s="9">
        <v>12.2</v>
      </c>
      <c r="Q31" s="9">
        <v>33.85</v>
      </c>
    </row>
    <row r="32" spans="1:17" x14ac:dyDescent="0.25">
      <c r="A32" s="9">
        <v>31</v>
      </c>
      <c r="B32" s="9" t="s">
        <v>50</v>
      </c>
      <c r="C32" s="9" t="s">
        <v>25</v>
      </c>
      <c r="D32" s="10">
        <v>44302</v>
      </c>
      <c r="E32" s="9">
        <v>34.47</v>
      </c>
      <c r="F32" s="11">
        <v>8368</v>
      </c>
      <c r="G32" s="14">
        <v>0.18</v>
      </c>
      <c r="H32" s="11">
        <v>8367</v>
      </c>
      <c r="I32" s="12">
        <v>0.222</v>
      </c>
      <c r="J32" s="11">
        <v>5101</v>
      </c>
      <c r="K32" s="12">
        <v>0.53300000000000003</v>
      </c>
      <c r="L32" s="11">
        <v>46414</v>
      </c>
      <c r="M32" s="9">
        <v>50.55</v>
      </c>
      <c r="N32" s="9">
        <v>2.4</v>
      </c>
      <c r="O32" s="9">
        <v>11.3</v>
      </c>
      <c r="P32" s="9">
        <v>20.6</v>
      </c>
      <c r="Q32" s="9">
        <v>20.62</v>
      </c>
    </row>
    <row r="33" spans="1:17" x14ac:dyDescent="0.25">
      <c r="A33" s="9">
        <v>32</v>
      </c>
      <c r="B33" s="9" t="s">
        <v>51</v>
      </c>
      <c r="C33" s="9" t="s">
        <v>19</v>
      </c>
      <c r="D33" s="10">
        <v>44302</v>
      </c>
      <c r="E33" s="9">
        <v>70.2</v>
      </c>
      <c r="F33" s="11">
        <v>4364</v>
      </c>
      <c r="G33" s="12">
        <v>0.30599999999999999</v>
      </c>
      <c r="H33" s="11">
        <v>4364</v>
      </c>
      <c r="I33" s="12">
        <v>0.36699999999999999</v>
      </c>
      <c r="J33" s="11">
        <v>3174</v>
      </c>
      <c r="K33" s="12">
        <v>0.90400000000000003</v>
      </c>
      <c r="L33" s="11">
        <v>14246</v>
      </c>
      <c r="M33" s="9">
        <v>23.82</v>
      </c>
      <c r="N33" s="9">
        <v>2.04</v>
      </c>
      <c r="O33" s="9">
        <v>6.4</v>
      </c>
      <c r="P33" s="9">
        <v>14.1</v>
      </c>
      <c r="Q33" s="9">
        <v>24.65</v>
      </c>
    </row>
    <row r="34" spans="1:17" x14ac:dyDescent="0.25">
      <c r="A34" s="9">
        <v>33</v>
      </c>
      <c r="B34" s="9" t="s">
        <v>52</v>
      </c>
      <c r="C34" s="9" t="s">
        <v>25</v>
      </c>
      <c r="D34" s="10">
        <v>44302</v>
      </c>
      <c r="E34" s="9" t="s">
        <v>26</v>
      </c>
      <c r="F34" s="11">
        <v>1282</v>
      </c>
      <c r="G34" s="12">
        <v>0.152</v>
      </c>
      <c r="H34" s="11">
        <v>1282</v>
      </c>
      <c r="I34" s="14">
        <v>0.19</v>
      </c>
      <c r="J34" s="11">
        <v>1056</v>
      </c>
      <c r="K34" s="12">
        <v>0.72599999999999998</v>
      </c>
      <c r="L34" s="11">
        <v>8422</v>
      </c>
      <c r="M34" s="9">
        <v>15.5</v>
      </c>
      <c r="N34" s="9">
        <v>3.43</v>
      </c>
      <c r="O34" s="9">
        <v>17.600000000000001</v>
      </c>
      <c r="P34" s="9">
        <v>20.100000000000001</v>
      </c>
      <c r="Q34" s="9">
        <v>17.28</v>
      </c>
    </row>
    <row r="35" spans="1:17" x14ac:dyDescent="0.25">
      <c r="A35" s="9">
        <v>34</v>
      </c>
      <c r="B35" s="9" t="s">
        <v>53</v>
      </c>
      <c r="C35" s="9" t="s">
        <v>17</v>
      </c>
      <c r="D35" s="10">
        <v>44302</v>
      </c>
      <c r="E35" s="9">
        <v>201.57</v>
      </c>
      <c r="F35" s="11">
        <v>98982</v>
      </c>
      <c r="G35" s="14">
        <v>0.27</v>
      </c>
      <c r="H35" s="11">
        <v>98898</v>
      </c>
      <c r="I35" s="12">
        <v>0.33200000000000002</v>
      </c>
      <c r="J35" s="11">
        <v>72715</v>
      </c>
      <c r="K35" s="12">
        <v>0.73199999999999998</v>
      </c>
      <c r="L35" s="11">
        <v>367118</v>
      </c>
      <c r="M35" s="9">
        <v>386.13</v>
      </c>
      <c r="N35" s="9">
        <v>2.5499999999999998</v>
      </c>
      <c r="O35" s="9">
        <v>11.6</v>
      </c>
      <c r="P35" s="9">
        <v>12.5</v>
      </c>
      <c r="Q35" s="9">
        <v>27.07</v>
      </c>
    </row>
    <row r="36" spans="1:17" x14ac:dyDescent="0.25">
      <c r="A36" s="9">
        <v>35</v>
      </c>
      <c r="B36" s="9" t="s">
        <v>54</v>
      </c>
      <c r="C36" s="9" t="s">
        <v>17</v>
      </c>
      <c r="D36" s="10">
        <v>44302</v>
      </c>
      <c r="E36" s="9">
        <v>205.95</v>
      </c>
      <c r="F36" s="11">
        <v>175187</v>
      </c>
      <c r="G36" s="12">
        <v>0.22700000000000001</v>
      </c>
      <c r="H36" s="11">
        <v>175155</v>
      </c>
      <c r="I36" s="12">
        <v>0.27500000000000002</v>
      </c>
      <c r="J36" s="11">
        <v>134500</v>
      </c>
      <c r="K36" s="12">
        <v>0.59899999999999998</v>
      </c>
      <c r="L36" s="11">
        <v>770577</v>
      </c>
      <c r="M36" s="9">
        <v>986.08</v>
      </c>
      <c r="N36" s="9">
        <v>2.61</v>
      </c>
      <c r="O36" s="9">
        <v>14.3</v>
      </c>
      <c r="P36" s="9">
        <v>14</v>
      </c>
      <c r="Q36" s="9">
        <v>29.15</v>
      </c>
    </row>
    <row r="37" spans="1:17" x14ac:dyDescent="0.25">
      <c r="A37" s="9">
        <v>36</v>
      </c>
      <c r="B37" s="9" t="s">
        <v>55</v>
      </c>
      <c r="C37" s="9" t="s">
        <v>19</v>
      </c>
      <c r="D37" s="10">
        <v>44302</v>
      </c>
      <c r="E37" s="9">
        <v>96.4</v>
      </c>
      <c r="F37" s="11">
        <v>65720</v>
      </c>
      <c r="G37" s="12">
        <v>0.224</v>
      </c>
      <c r="H37" s="11">
        <v>65643</v>
      </c>
      <c r="I37" s="12">
        <v>0.27500000000000002</v>
      </c>
      <c r="J37" s="11">
        <v>31356</v>
      </c>
      <c r="K37" s="12">
        <v>0.76900000000000002</v>
      </c>
      <c r="L37" s="11">
        <v>293582</v>
      </c>
      <c r="M37" s="9">
        <v>440.23</v>
      </c>
      <c r="N37" s="9">
        <v>2.4300000000000002</v>
      </c>
      <c r="O37" s="9">
        <v>8.1999999999999993</v>
      </c>
      <c r="P37" s="9">
        <v>20.399999999999999</v>
      </c>
      <c r="Q37" s="9">
        <v>13.89</v>
      </c>
    </row>
    <row r="38" spans="1:17" x14ac:dyDescent="0.25">
      <c r="A38" s="9">
        <v>37</v>
      </c>
      <c r="B38" s="9" t="s">
        <v>56</v>
      </c>
      <c r="C38" s="9" t="s">
        <v>17</v>
      </c>
      <c r="D38" s="10">
        <v>44302</v>
      </c>
      <c r="E38" s="9">
        <v>171.07</v>
      </c>
      <c r="F38" s="11">
        <v>7164</v>
      </c>
      <c r="G38" s="12">
        <v>0.17299999999999999</v>
      </c>
      <c r="H38" s="11">
        <v>7159</v>
      </c>
      <c r="I38" s="12">
        <v>0.214</v>
      </c>
      <c r="J38" s="11">
        <v>5195</v>
      </c>
      <c r="K38" s="12">
        <v>0.498</v>
      </c>
      <c r="L38" s="11">
        <v>41503</v>
      </c>
      <c r="M38" s="9">
        <v>37.119999999999997</v>
      </c>
      <c r="N38" s="9">
        <v>2.41</v>
      </c>
      <c r="O38" s="9">
        <v>15.5</v>
      </c>
      <c r="P38" s="9">
        <v>20.7</v>
      </c>
      <c r="Q38" s="9">
        <v>25.15</v>
      </c>
    </row>
    <row r="39" spans="1:17" x14ac:dyDescent="0.25">
      <c r="A39" s="9">
        <v>38</v>
      </c>
      <c r="B39" s="9" t="s">
        <v>57</v>
      </c>
      <c r="C39" s="9" t="s">
        <v>25</v>
      </c>
      <c r="D39" s="10">
        <v>44302</v>
      </c>
      <c r="E39" s="9" t="s">
        <v>26</v>
      </c>
      <c r="F39" s="11">
        <v>1156</v>
      </c>
      <c r="G39" s="12">
        <v>0.13800000000000001</v>
      </c>
      <c r="H39" s="11">
        <v>1156</v>
      </c>
      <c r="I39" s="12">
        <v>0.16700000000000001</v>
      </c>
      <c r="J39" s="9">
        <v>704</v>
      </c>
      <c r="K39" s="12">
        <v>0.56100000000000005</v>
      </c>
      <c r="L39" s="11">
        <v>8354</v>
      </c>
      <c r="M39" s="9">
        <v>10</v>
      </c>
      <c r="N39" s="9">
        <v>2.9</v>
      </c>
      <c r="O39" s="9">
        <v>18.5</v>
      </c>
      <c r="P39" s="9">
        <v>13</v>
      </c>
      <c r="Q39" s="9">
        <v>15.04</v>
      </c>
    </row>
    <row r="40" spans="1:17" x14ac:dyDescent="0.25">
      <c r="A40" s="9">
        <v>39</v>
      </c>
      <c r="B40" s="9" t="s">
        <v>58</v>
      </c>
      <c r="C40" s="9" t="s">
        <v>25</v>
      </c>
      <c r="D40" s="10">
        <v>44302</v>
      </c>
      <c r="E40" s="9" t="s">
        <v>26</v>
      </c>
      <c r="F40" s="11">
        <v>3617</v>
      </c>
      <c r="G40" s="12">
        <v>0.19600000000000001</v>
      </c>
      <c r="H40" s="11">
        <v>3616</v>
      </c>
      <c r="I40" s="14">
        <v>0.24</v>
      </c>
      <c r="J40" s="11">
        <v>2383</v>
      </c>
      <c r="K40" s="12">
        <v>0.61099999999999999</v>
      </c>
      <c r="L40" s="11">
        <v>18493</v>
      </c>
      <c r="M40" s="9">
        <v>26.55</v>
      </c>
      <c r="N40" s="9">
        <v>2.4500000000000002</v>
      </c>
      <c r="O40" s="9">
        <v>13.1</v>
      </c>
      <c r="P40" s="9">
        <v>28.2</v>
      </c>
      <c r="Q40" s="9">
        <v>21.1</v>
      </c>
    </row>
    <row r="41" spans="1:17" x14ac:dyDescent="0.25">
      <c r="A41" s="9">
        <v>40</v>
      </c>
      <c r="B41" s="9" t="s">
        <v>59</v>
      </c>
      <c r="C41" s="9" t="s">
        <v>17</v>
      </c>
      <c r="D41" s="10">
        <v>44302</v>
      </c>
      <c r="E41" s="9">
        <v>205.33</v>
      </c>
      <c r="F41" s="11">
        <v>94317</v>
      </c>
      <c r="G41" s="12">
        <v>0.23400000000000001</v>
      </c>
      <c r="H41" s="11">
        <v>94299</v>
      </c>
      <c r="I41" s="12">
        <v>0.28499999999999998</v>
      </c>
      <c r="J41" s="11">
        <v>69977</v>
      </c>
      <c r="K41" s="12">
        <v>0.61799999999999999</v>
      </c>
      <c r="L41" s="11">
        <v>403253</v>
      </c>
      <c r="M41" s="9">
        <v>542.28</v>
      </c>
      <c r="N41" s="9">
        <v>2.57</v>
      </c>
      <c r="O41" s="9">
        <v>12.7</v>
      </c>
      <c r="P41" s="9">
        <v>12.5</v>
      </c>
      <c r="Q41" s="9">
        <v>28.06</v>
      </c>
    </row>
    <row r="42" spans="1:17" x14ac:dyDescent="0.25">
      <c r="A42" s="9">
        <v>41</v>
      </c>
      <c r="B42" s="9" t="s">
        <v>60</v>
      </c>
      <c r="C42" s="9" t="s">
        <v>19</v>
      </c>
      <c r="D42" s="10">
        <v>44302</v>
      </c>
      <c r="E42" s="9">
        <v>98.47</v>
      </c>
      <c r="F42" s="11">
        <v>83765</v>
      </c>
      <c r="G42" s="12">
        <v>0.22900000000000001</v>
      </c>
      <c r="H42" s="11">
        <v>83745</v>
      </c>
      <c r="I42" s="12">
        <v>0.28100000000000003</v>
      </c>
      <c r="J42" s="11">
        <v>63167</v>
      </c>
      <c r="K42" s="12">
        <v>0.59199999999999997</v>
      </c>
      <c r="L42" s="11">
        <v>365579</v>
      </c>
      <c r="M42" s="9">
        <v>230.15</v>
      </c>
      <c r="N42" s="9">
        <v>2.48</v>
      </c>
      <c r="O42" s="9">
        <v>12.3</v>
      </c>
      <c r="P42" s="9">
        <v>16.600000000000001</v>
      </c>
      <c r="Q42" s="9">
        <v>29.18</v>
      </c>
    </row>
    <row r="43" spans="1:17" x14ac:dyDescent="0.25">
      <c r="A43" s="9">
        <v>42</v>
      </c>
      <c r="B43" s="9" t="s">
        <v>61</v>
      </c>
      <c r="C43" s="9" t="s">
        <v>17</v>
      </c>
      <c r="D43" s="10">
        <v>44302</v>
      </c>
      <c r="E43" s="9">
        <v>133.54</v>
      </c>
      <c r="F43" s="11">
        <v>45826</v>
      </c>
      <c r="G43" s="12">
        <v>0.28499999999999998</v>
      </c>
      <c r="H43" s="11">
        <v>45810</v>
      </c>
      <c r="I43" s="14">
        <v>0.34</v>
      </c>
      <c r="J43" s="11">
        <v>35657</v>
      </c>
      <c r="K43" s="12">
        <v>0.70199999999999996</v>
      </c>
      <c r="L43" s="11">
        <v>161000</v>
      </c>
      <c r="M43" s="9">
        <v>296.05</v>
      </c>
      <c r="N43" s="9">
        <v>2.41</v>
      </c>
      <c r="O43" s="9">
        <v>11.5</v>
      </c>
      <c r="P43" s="9">
        <v>10.5</v>
      </c>
      <c r="Q43" s="9">
        <v>31.53</v>
      </c>
    </row>
    <row r="44" spans="1:17" x14ac:dyDescent="0.25">
      <c r="A44" s="9">
        <v>43</v>
      </c>
      <c r="B44" s="9" t="s">
        <v>62</v>
      </c>
      <c r="C44" s="9" t="s">
        <v>17</v>
      </c>
      <c r="D44" s="10">
        <v>44302</v>
      </c>
      <c r="E44" s="9">
        <v>373.66</v>
      </c>
      <c r="F44" s="11">
        <v>635250</v>
      </c>
      <c r="G44" s="12">
        <v>0.23400000000000001</v>
      </c>
      <c r="H44" s="11">
        <v>634028</v>
      </c>
      <c r="I44" s="12">
        <v>0.29299999999999998</v>
      </c>
      <c r="J44" s="11">
        <v>290099</v>
      </c>
      <c r="K44" s="12">
        <v>0.64100000000000001</v>
      </c>
      <c r="L44" s="11">
        <v>2716940</v>
      </c>
      <c r="M44" s="13">
        <v>1430.09</v>
      </c>
      <c r="N44" s="9">
        <v>3.07</v>
      </c>
      <c r="O44" s="9">
        <v>18.100000000000001</v>
      </c>
      <c r="P44" s="9">
        <v>18</v>
      </c>
      <c r="Q44" s="9">
        <v>16.66</v>
      </c>
    </row>
    <row r="45" spans="1:17" x14ac:dyDescent="0.25">
      <c r="A45" s="9">
        <v>44</v>
      </c>
      <c r="B45" s="9" t="s">
        <v>63</v>
      </c>
      <c r="C45" s="9" t="s">
        <v>17</v>
      </c>
      <c r="D45" s="10">
        <v>44302</v>
      </c>
      <c r="E45" s="9">
        <v>165.71</v>
      </c>
      <c r="F45" s="11">
        <v>20258</v>
      </c>
      <c r="G45" s="12">
        <v>0.27300000000000002</v>
      </c>
      <c r="H45" s="11">
        <v>20253</v>
      </c>
      <c r="I45" s="12">
        <v>0.32200000000000001</v>
      </c>
      <c r="J45" s="11">
        <v>12994</v>
      </c>
      <c r="K45" s="12">
        <v>0.73699999999999999</v>
      </c>
      <c r="L45" s="11">
        <v>74228</v>
      </c>
      <c r="M45" s="9">
        <v>75.510000000000005</v>
      </c>
      <c r="N45" s="9">
        <v>2.39</v>
      </c>
      <c r="O45" s="9">
        <v>17.8</v>
      </c>
      <c r="P45" s="9">
        <v>11.8</v>
      </c>
      <c r="Q45" s="9">
        <v>23.75</v>
      </c>
    </row>
    <row r="46" spans="1:17" x14ac:dyDescent="0.25">
      <c r="A46" s="9">
        <v>45</v>
      </c>
      <c r="B46" s="9" t="s">
        <v>64</v>
      </c>
      <c r="C46" s="9" t="s">
        <v>19</v>
      </c>
      <c r="D46" s="10">
        <v>44302</v>
      </c>
      <c r="E46" s="9">
        <v>60.93</v>
      </c>
      <c r="F46" s="11">
        <v>23892</v>
      </c>
      <c r="G46" s="14">
        <v>0.27</v>
      </c>
      <c r="H46" s="11">
        <v>23880</v>
      </c>
      <c r="I46" s="12">
        <v>0.33600000000000002</v>
      </c>
      <c r="J46" s="11">
        <v>15462</v>
      </c>
      <c r="K46" s="12">
        <v>0.76400000000000001</v>
      </c>
      <c r="L46" s="11">
        <v>88625</v>
      </c>
      <c r="M46" s="9">
        <v>136.62</v>
      </c>
      <c r="N46" s="9">
        <v>2.5499999999999998</v>
      </c>
      <c r="O46" s="9">
        <v>11</v>
      </c>
      <c r="P46" s="9">
        <v>10.199999999999999</v>
      </c>
      <c r="Q46" s="9">
        <v>22.83</v>
      </c>
    </row>
    <row r="47" spans="1:17" x14ac:dyDescent="0.25">
      <c r="A47" s="9">
        <v>46</v>
      </c>
      <c r="B47" s="9" t="s">
        <v>65</v>
      </c>
      <c r="C47" s="9" t="s">
        <v>19</v>
      </c>
      <c r="D47" s="10">
        <v>44302</v>
      </c>
      <c r="E47" s="9">
        <v>90.63</v>
      </c>
      <c r="F47" s="11">
        <v>42758</v>
      </c>
      <c r="G47" s="12">
        <v>0.20300000000000001</v>
      </c>
      <c r="H47" s="11">
        <v>42737</v>
      </c>
      <c r="I47" s="12">
        <v>0.26100000000000001</v>
      </c>
      <c r="J47" s="11">
        <v>24018</v>
      </c>
      <c r="K47" s="12">
        <v>0.69899999999999995</v>
      </c>
      <c r="L47" s="11">
        <v>210738</v>
      </c>
      <c r="M47" s="9">
        <v>226.55</v>
      </c>
      <c r="N47" s="9">
        <v>2.52</v>
      </c>
      <c r="O47" s="9">
        <v>12.2</v>
      </c>
      <c r="P47" s="9">
        <v>11.5</v>
      </c>
      <c r="Q47" s="9">
        <v>16.309999999999999</v>
      </c>
    </row>
    <row r="48" spans="1:17" x14ac:dyDescent="0.25">
      <c r="A48" s="9">
        <v>47</v>
      </c>
      <c r="B48" s="9" t="s">
        <v>66</v>
      </c>
      <c r="C48" s="9" t="s">
        <v>17</v>
      </c>
      <c r="D48" s="10">
        <v>44302</v>
      </c>
      <c r="E48" s="9">
        <v>139.91999999999999</v>
      </c>
      <c r="F48" s="11">
        <v>6523</v>
      </c>
      <c r="G48" s="12">
        <v>0.155</v>
      </c>
      <c r="H48" s="11">
        <v>6521</v>
      </c>
      <c r="I48" s="12">
        <v>0.19600000000000001</v>
      </c>
      <c r="J48" s="11">
        <v>5134</v>
      </c>
      <c r="K48" s="12">
        <v>0.60499999999999998</v>
      </c>
      <c r="L48" s="11">
        <v>42168</v>
      </c>
      <c r="M48" s="9">
        <v>54.82</v>
      </c>
      <c r="N48" s="9">
        <v>2.73</v>
      </c>
      <c r="O48" s="9">
        <v>18.100000000000001</v>
      </c>
      <c r="P48" s="9">
        <v>22.7</v>
      </c>
      <c r="Q48" s="9">
        <v>20.12</v>
      </c>
    </row>
    <row r="49" spans="1:17" x14ac:dyDescent="0.25">
      <c r="A49" s="9">
        <v>48</v>
      </c>
      <c r="B49" s="9" t="s">
        <v>67</v>
      </c>
      <c r="C49" s="9" t="s">
        <v>17</v>
      </c>
      <c r="D49" s="10">
        <v>44302</v>
      </c>
      <c r="E49" s="9">
        <v>241.92</v>
      </c>
      <c r="F49" s="11">
        <v>278463</v>
      </c>
      <c r="G49" s="14">
        <v>0.2</v>
      </c>
      <c r="H49" s="11">
        <v>277847</v>
      </c>
      <c r="I49" s="12">
        <v>0.255</v>
      </c>
      <c r="J49" s="11">
        <v>113848</v>
      </c>
      <c r="K49" s="12">
        <v>0.66400000000000003</v>
      </c>
      <c r="L49" s="11">
        <v>1393452</v>
      </c>
      <c r="M49" s="13">
        <v>1545.08</v>
      </c>
      <c r="N49" s="9">
        <v>2.81</v>
      </c>
      <c r="O49" s="9">
        <v>14.5</v>
      </c>
      <c r="P49" s="9">
        <v>16.100000000000001</v>
      </c>
      <c r="Q49" s="9">
        <v>12.31</v>
      </c>
    </row>
    <row r="50" spans="1:17" x14ac:dyDescent="0.25">
      <c r="A50" s="9">
        <v>49</v>
      </c>
      <c r="B50" s="9" t="s">
        <v>68</v>
      </c>
      <c r="C50" s="9" t="s">
        <v>17</v>
      </c>
      <c r="D50" s="10">
        <v>44302</v>
      </c>
      <c r="E50" s="9">
        <v>302.58999999999997</v>
      </c>
      <c r="F50" s="11">
        <v>66004</v>
      </c>
      <c r="G50" s="12">
        <v>0.17599999999999999</v>
      </c>
      <c r="H50" s="11">
        <v>65944</v>
      </c>
      <c r="I50" s="12">
        <v>0.23100000000000001</v>
      </c>
      <c r="J50" s="11">
        <v>33764</v>
      </c>
      <c r="K50" s="12">
        <v>0.66500000000000004</v>
      </c>
      <c r="L50" s="11">
        <v>375751</v>
      </c>
      <c r="M50" s="9">
        <v>283.04000000000002</v>
      </c>
      <c r="N50" s="9">
        <v>3.4</v>
      </c>
      <c r="O50" s="9">
        <v>15.8</v>
      </c>
      <c r="P50" s="9">
        <v>16.3</v>
      </c>
      <c r="Q50" s="9">
        <v>13.52</v>
      </c>
    </row>
    <row r="51" spans="1:17" x14ac:dyDescent="0.25">
      <c r="A51" s="9">
        <v>50</v>
      </c>
      <c r="B51" s="9" t="s">
        <v>69</v>
      </c>
      <c r="C51" s="9" t="s">
        <v>17</v>
      </c>
      <c r="D51" s="10">
        <v>44302</v>
      </c>
      <c r="E51" s="9">
        <v>186.74</v>
      </c>
      <c r="F51" s="11">
        <v>367492</v>
      </c>
      <c r="G51" s="12">
        <v>0.246</v>
      </c>
      <c r="H51" s="11">
        <v>367171</v>
      </c>
      <c r="I51" s="12">
        <v>0.30299999999999999</v>
      </c>
      <c r="J51" s="11">
        <v>241777</v>
      </c>
      <c r="K51" s="12">
        <v>0.66300000000000003</v>
      </c>
      <c r="L51" s="11">
        <v>1496770</v>
      </c>
      <c r="M51" s="9">
        <v>761.99</v>
      </c>
      <c r="N51" s="9">
        <v>2.6</v>
      </c>
      <c r="O51" s="9">
        <v>13.6</v>
      </c>
      <c r="P51" s="9">
        <v>12.8</v>
      </c>
      <c r="Q51" s="9">
        <v>24.36</v>
      </c>
    </row>
    <row r="52" spans="1:17" x14ac:dyDescent="0.25">
      <c r="A52" s="9">
        <v>51</v>
      </c>
      <c r="B52" s="9" t="s">
        <v>70</v>
      </c>
      <c r="C52" s="9" t="s">
        <v>17</v>
      </c>
      <c r="D52" s="10">
        <v>44302</v>
      </c>
      <c r="E52" s="9">
        <v>201.28</v>
      </c>
      <c r="F52" s="11">
        <v>114637</v>
      </c>
      <c r="G52" s="12">
        <v>0.20699999999999999</v>
      </c>
      <c r="H52" s="11">
        <v>114579</v>
      </c>
      <c r="I52" s="12">
        <v>0.25900000000000001</v>
      </c>
      <c r="J52" s="11">
        <v>73131</v>
      </c>
      <c r="K52" s="12">
        <v>0.58299999999999996</v>
      </c>
      <c r="L52" s="11">
        <v>553947</v>
      </c>
      <c r="M52" s="9">
        <v>741.98</v>
      </c>
      <c r="N52" s="9">
        <v>2.52</v>
      </c>
      <c r="O52" s="9">
        <v>11.8</v>
      </c>
      <c r="P52" s="9">
        <v>13.5</v>
      </c>
      <c r="Q52" s="9">
        <v>22.65</v>
      </c>
    </row>
    <row r="53" spans="1:17" x14ac:dyDescent="0.25">
      <c r="A53" s="9">
        <v>52</v>
      </c>
      <c r="B53" s="9" t="s">
        <v>71</v>
      </c>
      <c r="C53" s="9" t="s">
        <v>17</v>
      </c>
      <c r="D53" s="10">
        <v>44302</v>
      </c>
      <c r="E53" s="9">
        <v>183.28</v>
      </c>
      <c r="F53" s="11">
        <v>254898</v>
      </c>
      <c r="G53" s="12">
        <v>0.26100000000000001</v>
      </c>
      <c r="H53" s="11">
        <v>254753</v>
      </c>
      <c r="I53" s="12">
        <v>0.311</v>
      </c>
      <c r="J53" s="11">
        <v>156327</v>
      </c>
      <c r="K53" s="12">
        <v>0.63100000000000001</v>
      </c>
      <c r="L53" s="11">
        <v>974996</v>
      </c>
      <c r="M53" s="13">
        <v>3561.28</v>
      </c>
      <c r="N53" s="9">
        <v>2.31</v>
      </c>
      <c r="O53" s="9">
        <v>11.5</v>
      </c>
      <c r="P53" s="9">
        <v>13</v>
      </c>
      <c r="Q53" s="9">
        <v>25.4</v>
      </c>
    </row>
    <row r="54" spans="1:17" x14ac:dyDescent="0.25">
      <c r="A54" s="9">
        <v>53</v>
      </c>
      <c r="B54" s="9" t="s">
        <v>72</v>
      </c>
      <c r="C54" s="9" t="s">
        <v>17</v>
      </c>
      <c r="D54" s="10">
        <v>44302</v>
      </c>
      <c r="E54" s="9">
        <v>209.31</v>
      </c>
      <c r="F54" s="11">
        <v>128689</v>
      </c>
      <c r="G54" s="12">
        <v>0.17799999999999999</v>
      </c>
      <c r="H54" s="11">
        <v>128613</v>
      </c>
      <c r="I54" s="12">
        <v>0.22700000000000001</v>
      </c>
      <c r="J54" s="11">
        <v>82984</v>
      </c>
      <c r="K54" s="14">
        <v>0.56000000000000005</v>
      </c>
      <c r="L54" s="11">
        <v>724777</v>
      </c>
      <c r="M54" s="9">
        <v>403.21</v>
      </c>
      <c r="N54" s="9">
        <v>2.84</v>
      </c>
      <c r="O54" s="9">
        <v>13.2</v>
      </c>
      <c r="P54" s="9">
        <v>16.600000000000001</v>
      </c>
      <c r="Q54" s="9">
        <v>20.440000000000001</v>
      </c>
    </row>
    <row r="55" spans="1:17" x14ac:dyDescent="0.25">
      <c r="A55" s="9">
        <v>54</v>
      </c>
      <c r="B55" s="9" t="s">
        <v>73</v>
      </c>
      <c r="C55" s="9" t="s">
        <v>17</v>
      </c>
      <c r="D55" s="10">
        <v>44302</v>
      </c>
      <c r="E55" s="9">
        <v>138.22</v>
      </c>
      <c r="F55" s="11">
        <v>10938</v>
      </c>
      <c r="G55" s="12">
        <v>0.14699999999999999</v>
      </c>
      <c r="H55" s="11">
        <v>10936</v>
      </c>
      <c r="I55" s="12">
        <v>0.186</v>
      </c>
      <c r="J55" s="11">
        <v>7799</v>
      </c>
      <c r="K55" s="12">
        <v>0.441</v>
      </c>
      <c r="L55" s="11">
        <v>74521</v>
      </c>
      <c r="M55" s="9">
        <v>102.38</v>
      </c>
      <c r="N55" s="9">
        <v>2.52</v>
      </c>
      <c r="O55" s="9">
        <v>16</v>
      </c>
      <c r="P55" s="9">
        <v>24.8</v>
      </c>
      <c r="Q55" s="9">
        <v>23.72</v>
      </c>
    </row>
    <row r="56" spans="1:17" x14ac:dyDescent="0.25">
      <c r="A56" s="9">
        <v>55</v>
      </c>
      <c r="B56" s="9" t="s">
        <v>74</v>
      </c>
      <c r="C56" s="9" t="s">
        <v>19</v>
      </c>
      <c r="D56" s="10">
        <v>44302</v>
      </c>
      <c r="E56" s="9">
        <v>62.94</v>
      </c>
      <c r="F56" s="11">
        <v>34103</v>
      </c>
      <c r="G56" s="12">
        <v>0.185</v>
      </c>
      <c r="H56" s="11">
        <v>34072</v>
      </c>
      <c r="I56" s="12">
        <v>0.23599999999999999</v>
      </c>
      <c r="J56" s="11">
        <v>19716</v>
      </c>
      <c r="K56" s="12">
        <v>0.65500000000000003</v>
      </c>
      <c r="L56" s="11">
        <v>184313</v>
      </c>
      <c r="M56" s="9">
        <v>182.06</v>
      </c>
      <c r="N56" s="9">
        <v>2.68</v>
      </c>
      <c r="O56" s="9">
        <v>10</v>
      </c>
      <c r="P56" s="9">
        <v>9.8000000000000007</v>
      </c>
      <c r="Q56" s="9">
        <v>16.34</v>
      </c>
    </row>
    <row r="57" spans="1:17" x14ac:dyDescent="0.25">
      <c r="A57" s="9">
        <v>56</v>
      </c>
      <c r="B57" s="9" t="s">
        <v>75</v>
      </c>
      <c r="C57" s="9" t="s">
        <v>17</v>
      </c>
      <c r="D57" s="10">
        <v>44302</v>
      </c>
      <c r="E57" s="9">
        <v>185.59</v>
      </c>
      <c r="F57" s="11">
        <v>136601</v>
      </c>
      <c r="G57" s="12">
        <v>0.315</v>
      </c>
      <c r="H57" s="11">
        <v>136540</v>
      </c>
      <c r="I57" s="12">
        <v>0.36599999999999999</v>
      </c>
      <c r="J57" s="11">
        <v>107495</v>
      </c>
      <c r="K57" s="12">
        <v>0.66400000000000003</v>
      </c>
      <c r="L57" s="11">
        <v>433742</v>
      </c>
      <c r="M57" s="9">
        <v>780.13</v>
      </c>
      <c r="N57" s="9">
        <v>2.25</v>
      </c>
      <c r="O57" s="9">
        <v>11.4</v>
      </c>
      <c r="P57" s="9">
        <v>9.6999999999999993</v>
      </c>
      <c r="Q57" s="9">
        <v>37.340000000000003</v>
      </c>
    </row>
    <row r="58" spans="1:17" x14ac:dyDescent="0.25">
      <c r="A58" s="9">
        <v>57</v>
      </c>
      <c r="B58" s="9" t="s">
        <v>76</v>
      </c>
      <c r="C58" s="9" t="s">
        <v>17</v>
      </c>
      <c r="D58" s="10">
        <v>44302</v>
      </c>
      <c r="E58" s="9">
        <v>195.2</v>
      </c>
      <c r="F58" s="11">
        <v>91935</v>
      </c>
      <c r="G58" s="12">
        <v>0.19500000000000001</v>
      </c>
      <c r="H58" s="11">
        <v>91801</v>
      </c>
      <c r="I58" s="12">
        <v>0.246</v>
      </c>
      <c r="J58" s="11">
        <v>46833</v>
      </c>
      <c r="K58" s="12">
        <v>0.621</v>
      </c>
      <c r="L58" s="11">
        <v>471826</v>
      </c>
      <c r="M58" s="13">
        <v>1525.34</v>
      </c>
      <c r="N58" s="9">
        <v>2.7</v>
      </c>
      <c r="O58" s="9">
        <v>10.4</v>
      </c>
      <c r="P58" s="9">
        <v>11.4</v>
      </c>
      <c r="Q58" s="9">
        <v>15.98</v>
      </c>
    </row>
    <row r="59" spans="1:17" x14ac:dyDescent="0.25">
      <c r="A59" s="9">
        <v>58</v>
      </c>
      <c r="B59" s="9" t="s">
        <v>77</v>
      </c>
      <c r="C59" s="9" t="s">
        <v>17</v>
      </c>
      <c r="D59" s="10">
        <v>44302</v>
      </c>
      <c r="E59" s="9">
        <v>126.95</v>
      </c>
      <c r="F59" s="11">
        <v>80051</v>
      </c>
      <c r="G59" s="12">
        <v>0.30199999999999999</v>
      </c>
      <c r="H59" s="11">
        <v>79934</v>
      </c>
      <c r="I59" s="12">
        <v>0.38500000000000001</v>
      </c>
      <c r="J59" s="11">
        <v>45213</v>
      </c>
      <c r="K59" s="12">
        <v>0.82699999999999996</v>
      </c>
      <c r="L59" s="11">
        <v>264672</v>
      </c>
      <c r="M59" s="9">
        <v>440.71</v>
      </c>
      <c r="N59" s="9">
        <v>2.7</v>
      </c>
      <c r="O59" s="9">
        <v>8.4</v>
      </c>
      <c r="P59" s="9">
        <v>8.4</v>
      </c>
      <c r="Q59" s="9">
        <v>20.65</v>
      </c>
    </row>
    <row r="60" spans="1:17" x14ac:dyDescent="0.25">
      <c r="A60" s="9">
        <v>59</v>
      </c>
      <c r="B60" s="9" t="s">
        <v>78</v>
      </c>
      <c r="C60" s="9" t="s">
        <v>17</v>
      </c>
      <c r="D60" s="10">
        <v>44302</v>
      </c>
      <c r="E60" s="9">
        <v>152.61000000000001</v>
      </c>
      <c r="F60" s="11">
        <v>66650</v>
      </c>
      <c r="G60" s="12">
        <v>0.20300000000000001</v>
      </c>
      <c r="H60" s="11">
        <v>66636</v>
      </c>
      <c r="I60" s="12">
        <v>0.252</v>
      </c>
      <c r="J60" s="11">
        <v>47388</v>
      </c>
      <c r="K60" s="12">
        <v>0.58599999999999997</v>
      </c>
      <c r="L60" s="11">
        <v>328297</v>
      </c>
      <c r="M60" s="9">
        <v>574.29999999999995</v>
      </c>
      <c r="N60" s="9">
        <v>2.68</v>
      </c>
      <c r="O60" s="9">
        <v>14</v>
      </c>
      <c r="P60" s="9">
        <v>15</v>
      </c>
      <c r="Q60" s="9">
        <v>24.65</v>
      </c>
    </row>
    <row r="61" spans="1:17" x14ac:dyDescent="0.25">
      <c r="A61" s="9">
        <v>60</v>
      </c>
      <c r="B61" s="9" t="s">
        <v>79</v>
      </c>
      <c r="C61" s="9" t="s">
        <v>19</v>
      </c>
      <c r="D61" s="10">
        <v>44302</v>
      </c>
      <c r="E61" s="9">
        <v>95.15</v>
      </c>
      <c r="F61" s="11">
        <v>67750</v>
      </c>
      <c r="G61" s="12">
        <v>0.51200000000000001</v>
      </c>
      <c r="H61" s="11">
        <v>67741</v>
      </c>
      <c r="I61" s="12">
        <v>0.55100000000000005</v>
      </c>
      <c r="J61" s="11">
        <v>60713</v>
      </c>
      <c r="K61" s="12">
        <v>0.78800000000000003</v>
      </c>
      <c r="L61" s="11">
        <v>132420</v>
      </c>
      <c r="M61" s="9">
        <v>237.68</v>
      </c>
      <c r="N61" s="9">
        <v>2.04</v>
      </c>
      <c r="O61" s="9">
        <v>6.2</v>
      </c>
      <c r="P61" s="9">
        <v>8.8000000000000007</v>
      </c>
      <c r="Q61" s="9">
        <v>58.17</v>
      </c>
    </row>
    <row r="62" spans="1:17" x14ac:dyDescent="0.25">
      <c r="A62" s="9">
        <v>61</v>
      </c>
      <c r="B62" s="9" t="s">
        <v>80</v>
      </c>
      <c r="C62" s="9" t="s">
        <v>19</v>
      </c>
      <c r="D62" s="10">
        <v>44302</v>
      </c>
      <c r="E62" s="9">
        <v>56.28</v>
      </c>
      <c r="F62" s="11">
        <v>7090</v>
      </c>
      <c r="G62" s="14">
        <v>0.16</v>
      </c>
      <c r="H62" s="11">
        <v>7088</v>
      </c>
      <c r="I62" s="12">
        <v>0.20200000000000001</v>
      </c>
      <c r="J62" s="11">
        <v>5152</v>
      </c>
      <c r="K62" s="12">
        <v>0.53400000000000003</v>
      </c>
      <c r="L62" s="11">
        <v>44417</v>
      </c>
      <c r="M62" s="9">
        <v>64.510000000000005</v>
      </c>
      <c r="N62" s="9">
        <v>2.81</v>
      </c>
      <c r="O62" s="9">
        <v>13.9</v>
      </c>
      <c r="P62" s="9">
        <v>17.8</v>
      </c>
      <c r="Q62" s="9">
        <v>21.73</v>
      </c>
    </row>
    <row r="63" spans="1:17" x14ac:dyDescent="0.25">
      <c r="A63" s="9">
        <v>62</v>
      </c>
      <c r="B63" s="9" t="s">
        <v>81</v>
      </c>
      <c r="C63" s="9" t="s">
        <v>25</v>
      </c>
      <c r="D63" s="10">
        <v>44302</v>
      </c>
      <c r="E63" s="9" t="s">
        <v>26</v>
      </c>
      <c r="F63" s="11">
        <v>3270</v>
      </c>
      <c r="G63" s="12">
        <v>0.152</v>
      </c>
      <c r="H63" s="11">
        <v>3269</v>
      </c>
      <c r="I63" s="12">
        <v>0.189</v>
      </c>
      <c r="J63" s="11">
        <v>2283</v>
      </c>
      <c r="K63" s="12">
        <v>0.505</v>
      </c>
      <c r="L63" s="11">
        <v>21569</v>
      </c>
      <c r="M63" s="9">
        <v>20.67</v>
      </c>
      <c r="N63" s="9">
        <v>2.4700000000000002</v>
      </c>
      <c r="O63" s="9">
        <v>10.9</v>
      </c>
      <c r="P63" s="9">
        <v>19.8</v>
      </c>
      <c r="Q63" s="9">
        <v>20.98</v>
      </c>
    </row>
    <row r="64" spans="1:17" x14ac:dyDescent="0.25">
      <c r="A64" s="9">
        <v>63</v>
      </c>
      <c r="B64" s="9" t="s">
        <v>82</v>
      </c>
      <c r="C64" s="9" t="s">
        <v>19</v>
      </c>
      <c r="D64" s="10">
        <v>44302</v>
      </c>
      <c r="E64" s="9" t="s">
        <v>26</v>
      </c>
      <c r="F64" s="11">
        <v>1557</v>
      </c>
      <c r="G64" s="12">
        <v>0.10199999999999999</v>
      </c>
      <c r="H64" s="11">
        <v>1557</v>
      </c>
      <c r="I64" s="12">
        <v>0.127</v>
      </c>
      <c r="J64" s="11">
        <v>1091</v>
      </c>
      <c r="K64" s="12">
        <v>0.47099999999999997</v>
      </c>
      <c r="L64" s="11">
        <v>15237</v>
      </c>
      <c r="M64" s="9">
        <v>62.56</v>
      </c>
      <c r="N64" s="9">
        <v>2.5</v>
      </c>
      <c r="O64" s="9">
        <v>12.4</v>
      </c>
      <c r="P64" s="9">
        <v>22</v>
      </c>
      <c r="Q64" s="9">
        <v>15.21</v>
      </c>
    </row>
    <row r="65" spans="1:17" x14ac:dyDescent="0.25">
      <c r="A65" s="9">
        <v>64</v>
      </c>
      <c r="B65" s="9" t="s">
        <v>83</v>
      </c>
      <c r="C65" s="9" t="s">
        <v>17</v>
      </c>
      <c r="D65" s="10">
        <v>44302</v>
      </c>
      <c r="E65" s="9">
        <v>217.97</v>
      </c>
      <c r="F65" s="11">
        <v>125792</v>
      </c>
      <c r="G65" s="12">
        <v>0.22700000000000001</v>
      </c>
      <c r="H65" s="11">
        <v>125756</v>
      </c>
      <c r="I65" s="12">
        <v>0.27500000000000002</v>
      </c>
      <c r="J65" s="11">
        <v>87453</v>
      </c>
      <c r="K65" s="12">
        <v>0.63500000000000001</v>
      </c>
      <c r="L65" s="11">
        <v>553284</v>
      </c>
      <c r="M65" s="9">
        <v>502.42</v>
      </c>
      <c r="N65" s="9">
        <v>2.4300000000000002</v>
      </c>
      <c r="O65" s="9">
        <v>12.5</v>
      </c>
      <c r="P65" s="9">
        <v>15.2</v>
      </c>
      <c r="Q65" s="9">
        <v>24.91</v>
      </c>
    </row>
    <row r="66" spans="1:17" x14ac:dyDescent="0.25">
      <c r="A66" s="9">
        <v>65</v>
      </c>
      <c r="B66" s="9" t="s">
        <v>84</v>
      </c>
      <c r="C66" s="9" t="s">
        <v>17</v>
      </c>
      <c r="D66" s="10">
        <v>44302</v>
      </c>
      <c r="E66" s="9">
        <v>127.45</v>
      </c>
      <c r="F66" s="11">
        <v>6284</v>
      </c>
      <c r="G66" s="12">
        <v>0.186</v>
      </c>
      <c r="H66" s="11">
        <v>6280</v>
      </c>
      <c r="I66" s="12">
        <v>0.23499999999999999</v>
      </c>
      <c r="J66" s="11">
        <v>3855</v>
      </c>
      <c r="K66" s="12">
        <v>0.71799999999999997</v>
      </c>
      <c r="L66" s="11">
        <v>33739</v>
      </c>
      <c r="M66" s="9">
        <v>55.64</v>
      </c>
      <c r="N66" s="9">
        <v>2.56</v>
      </c>
      <c r="O66" s="9">
        <v>9</v>
      </c>
      <c r="P66" s="9">
        <v>11.5</v>
      </c>
      <c r="Q66" s="9">
        <v>15.9</v>
      </c>
    </row>
    <row r="67" spans="1:17" x14ac:dyDescent="0.25">
      <c r="A67" s="9">
        <v>66</v>
      </c>
      <c r="B67" s="9" t="s">
        <v>85</v>
      </c>
      <c r="C67" s="9" t="s">
        <v>17</v>
      </c>
      <c r="D67" s="10">
        <v>44302</v>
      </c>
      <c r="E67" s="9">
        <v>216.01</v>
      </c>
      <c r="F67" s="11">
        <v>13645</v>
      </c>
      <c r="G67" s="12">
        <v>0.184</v>
      </c>
      <c r="H67" s="11">
        <v>13641</v>
      </c>
      <c r="I67" s="12">
        <v>0.23100000000000001</v>
      </c>
      <c r="J67" s="11">
        <v>8826</v>
      </c>
      <c r="K67" s="12">
        <v>0.58899999999999997</v>
      </c>
      <c r="L67" s="11">
        <v>74071</v>
      </c>
      <c r="M67" s="9">
        <v>71.38</v>
      </c>
      <c r="N67" s="9">
        <v>2.42</v>
      </c>
      <c r="O67" s="9">
        <v>13.5</v>
      </c>
      <c r="P67" s="9">
        <v>14.7</v>
      </c>
      <c r="Q67" s="9">
        <v>20.22</v>
      </c>
    </row>
    <row r="68" spans="1:17" x14ac:dyDescent="0.25">
      <c r="A68" s="9">
        <v>67</v>
      </c>
      <c r="B68" s="9" t="s">
        <v>86</v>
      </c>
      <c r="C68" s="9" t="s">
        <v>19</v>
      </c>
      <c r="D68" s="10">
        <v>44302</v>
      </c>
      <c r="E68" s="9">
        <v>70.66</v>
      </c>
      <c r="F68" s="11">
        <v>2959</v>
      </c>
      <c r="G68" s="12">
        <v>0.11600000000000001</v>
      </c>
      <c r="H68" s="11">
        <v>2956</v>
      </c>
      <c r="I68" s="12">
        <v>0.14499999999999999</v>
      </c>
      <c r="J68" s="11">
        <v>1949</v>
      </c>
      <c r="K68" s="12">
        <v>0.44500000000000001</v>
      </c>
      <c r="L68" s="11">
        <v>25473</v>
      </c>
      <c r="M68" s="9">
        <v>43.57</v>
      </c>
      <c r="N68" s="9">
        <v>2.57</v>
      </c>
      <c r="O68" s="9">
        <v>12.8</v>
      </c>
      <c r="P68" s="9">
        <v>22.4</v>
      </c>
      <c r="Q68" s="9">
        <v>17.2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Q68"/>
  <sheetViews>
    <sheetView workbookViewId="0">
      <selection sqref="A1:Q68"/>
    </sheetView>
  </sheetViews>
  <sheetFormatPr defaultColWidth="9" defaultRowHeight="15.75" x14ac:dyDescent="0.25"/>
  <cols>
    <col min="1" max="1" width="5.375" style="18" customWidth="1"/>
    <col min="2" max="2" width="9.5" style="18" bestFit="1" customWidth="1"/>
    <col min="3" max="3" width="15.875" style="18" bestFit="1" customWidth="1"/>
    <col min="4" max="4" width="10.125" style="18" bestFit="1" customWidth="1"/>
    <col min="5" max="5" width="10.25" style="18" bestFit="1" customWidth="1"/>
    <col min="6" max="6" width="8.125" style="18" bestFit="1" customWidth="1"/>
    <col min="7" max="7" width="13.875" style="18" bestFit="1" customWidth="1"/>
    <col min="8" max="8" width="9.875" style="18" bestFit="1" customWidth="1"/>
    <col min="9" max="9" width="15.625" style="18" bestFit="1" customWidth="1"/>
    <col min="10" max="10" width="9.875" style="18" bestFit="1" customWidth="1"/>
    <col min="11" max="11" width="15.625" style="18" bestFit="1" customWidth="1"/>
    <col min="12" max="12" width="12" style="18" bestFit="1" customWidth="1"/>
    <col min="13" max="13" width="13.75" style="18" bestFit="1" customWidth="1"/>
    <col min="14" max="14" width="9.5" style="18" bestFit="1" customWidth="1"/>
    <col min="15" max="15" width="13.375" style="18" bestFit="1" customWidth="1"/>
    <col min="16" max="16" width="11.625" style="18" customWidth="1"/>
    <col min="17" max="17" width="11.375" style="18" customWidth="1"/>
    <col min="18" max="18" width="4.625" style="18" bestFit="1" customWidth="1"/>
    <col min="19" max="16384" width="9" style="18"/>
  </cols>
  <sheetData>
    <row r="1" spans="1:17" x14ac:dyDescent="0.25">
      <c r="B1" s="19" t="s">
        <v>0</v>
      </c>
      <c r="C1" s="19" t="s">
        <v>1</v>
      </c>
      <c r="D1" s="19" t="s">
        <v>2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19" t="s">
        <v>9</v>
      </c>
      <c r="L1" s="19" t="s">
        <v>10</v>
      </c>
      <c r="M1" s="19" t="s">
        <v>11</v>
      </c>
      <c r="N1" s="19" t="s">
        <v>12</v>
      </c>
      <c r="O1" s="19" t="s">
        <v>13</v>
      </c>
      <c r="P1" s="19" t="s">
        <v>14</v>
      </c>
      <c r="Q1" s="19" t="s">
        <v>15</v>
      </c>
    </row>
    <row r="2" spans="1:17" x14ac:dyDescent="0.25">
      <c r="A2" s="19">
        <v>1</v>
      </c>
      <c r="B2" s="19" t="s">
        <v>16</v>
      </c>
      <c r="C2" s="19" t="s">
        <v>17</v>
      </c>
      <c r="D2" s="20">
        <v>44303</v>
      </c>
      <c r="E2" s="19">
        <v>106.67</v>
      </c>
      <c r="F2" s="21">
        <v>70226</v>
      </c>
      <c r="G2" s="22">
        <v>0.26100000000000001</v>
      </c>
      <c r="H2" s="21">
        <v>70172</v>
      </c>
      <c r="I2" s="22">
        <v>0.318</v>
      </c>
      <c r="J2" s="21">
        <v>30635</v>
      </c>
      <c r="K2" s="23">
        <v>0.78</v>
      </c>
      <c r="L2" s="21">
        <v>269043</v>
      </c>
      <c r="M2" s="19">
        <v>307.29000000000002</v>
      </c>
      <c r="N2" s="19">
        <v>2.54</v>
      </c>
      <c r="O2" s="19">
        <v>9.1999999999999993</v>
      </c>
      <c r="P2" s="19">
        <v>21.8</v>
      </c>
      <c r="Q2" s="19">
        <v>14.6</v>
      </c>
    </row>
    <row r="3" spans="1:17" x14ac:dyDescent="0.25">
      <c r="A3" s="19">
        <v>2</v>
      </c>
      <c r="B3" s="19" t="s">
        <v>18</v>
      </c>
      <c r="C3" s="19" t="s">
        <v>19</v>
      </c>
      <c r="D3" s="20">
        <v>44303</v>
      </c>
      <c r="E3" s="19">
        <v>82.16</v>
      </c>
      <c r="F3" s="21">
        <v>3461</v>
      </c>
      <c r="G3" s="22">
        <v>0.11799999999999999</v>
      </c>
      <c r="H3" s="21">
        <v>3461</v>
      </c>
      <c r="I3" s="22">
        <v>0.156</v>
      </c>
      <c r="J3" s="21">
        <v>2186</v>
      </c>
      <c r="K3" s="22">
        <v>0.53100000000000003</v>
      </c>
      <c r="L3" s="21">
        <v>29210</v>
      </c>
      <c r="M3" s="19">
        <v>49.91</v>
      </c>
      <c r="N3" s="19">
        <v>2.92</v>
      </c>
      <c r="O3" s="19">
        <v>12.5</v>
      </c>
      <c r="P3" s="19">
        <v>14.6</v>
      </c>
      <c r="Q3" s="19">
        <v>14.09</v>
      </c>
    </row>
    <row r="4" spans="1:17" x14ac:dyDescent="0.25">
      <c r="A4" s="19">
        <v>3</v>
      </c>
      <c r="B4" s="19" t="s">
        <v>20</v>
      </c>
      <c r="C4" s="19" t="s">
        <v>19</v>
      </c>
      <c r="D4" s="20">
        <v>44303</v>
      </c>
      <c r="E4" s="19">
        <v>99.02</v>
      </c>
      <c r="F4" s="21">
        <v>35531</v>
      </c>
      <c r="G4" s="22">
        <v>0.20300000000000001</v>
      </c>
      <c r="H4" s="21">
        <v>35511</v>
      </c>
      <c r="I4" s="22">
        <v>0.25600000000000001</v>
      </c>
      <c r="J4" s="21">
        <v>18877</v>
      </c>
      <c r="K4" s="23">
        <v>0.57999999999999996</v>
      </c>
      <c r="L4" s="21">
        <v>174705</v>
      </c>
      <c r="M4" s="19">
        <v>230.3</v>
      </c>
      <c r="N4" s="19">
        <v>2.57</v>
      </c>
      <c r="O4" s="19">
        <v>14.2</v>
      </c>
      <c r="P4" s="19">
        <v>14.7</v>
      </c>
      <c r="Q4" s="19">
        <v>18.62</v>
      </c>
    </row>
    <row r="5" spans="1:17" x14ac:dyDescent="0.25">
      <c r="A5" s="19">
        <v>4</v>
      </c>
      <c r="B5" s="19" t="s">
        <v>21</v>
      </c>
      <c r="C5" s="19" t="s">
        <v>19</v>
      </c>
      <c r="D5" s="20">
        <v>44303</v>
      </c>
      <c r="E5" s="19">
        <v>53.19</v>
      </c>
      <c r="F5" s="21">
        <v>3725</v>
      </c>
      <c r="G5" s="22">
        <v>0.13200000000000001</v>
      </c>
      <c r="H5" s="21">
        <v>3725</v>
      </c>
      <c r="I5" s="22">
        <v>0.16400000000000001</v>
      </c>
      <c r="J5" s="21">
        <v>2507</v>
      </c>
      <c r="K5" s="22">
        <v>0.495</v>
      </c>
      <c r="L5" s="21">
        <v>28201</v>
      </c>
      <c r="M5" s="19">
        <v>95.93</v>
      </c>
      <c r="N5" s="19">
        <v>2.6</v>
      </c>
      <c r="O5" s="19">
        <v>12.4</v>
      </c>
      <c r="P5" s="19">
        <v>20.3</v>
      </c>
      <c r="Q5" s="19">
        <v>17.96</v>
      </c>
    </row>
    <row r="6" spans="1:17" x14ac:dyDescent="0.25">
      <c r="A6" s="19">
        <v>5</v>
      </c>
      <c r="B6" s="19" t="s">
        <v>22</v>
      </c>
      <c r="C6" s="19" t="s">
        <v>17</v>
      </c>
      <c r="D6" s="20">
        <v>44303</v>
      </c>
      <c r="E6" s="19">
        <v>146.03</v>
      </c>
      <c r="F6" s="21">
        <v>138912</v>
      </c>
      <c r="G6" s="22">
        <v>0.23100000000000001</v>
      </c>
      <c r="H6" s="21">
        <v>138845</v>
      </c>
      <c r="I6" s="22">
        <v>0.28199999999999997</v>
      </c>
      <c r="J6" s="21">
        <v>89084</v>
      </c>
      <c r="K6" s="22">
        <v>0.61099999999999999</v>
      </c>
      <c r="L6" s="21">
        <v>601942</v>
      </c>
      <c r="M6" s="19">
        <v>593.05999999999995</v>
      </c>
      <c r="N6" s="19">
        <v>2.4900000000000002</v>
      </c>
      <c r="O6" s="19">
        <v>10.8</v>
      </c>
      <c r="P6" s="19">
        <v>12.7</v>
      </c>
      <c r="Q6" s="19">
        <v>24.21</v>
      </c>
    </row>
    <row r="7" spans="1:17" x14ac:dyDescent="0.25">
      <c r="A7" s="19">
        <v>6</v>
      </c>
      <c r="B7" s="19" t="s">
        <v>23</v>
      </c>
      <c r="C7" s="19" t="s">
        <v>17</v>
      </c>
      <c r="D7" s="20">
        <v>44303</v>
      </c>
      <c r="E7" s="19">
        <v>272.18</v>
      </c>
      <c r="F7" s="21">
        <v>442872</v>
      </c>
      <c r="G7" s="22">
        <v>0.22700000000000001</v>
      </c>
      <c r="H7" s="21">
        <v>442063</v>
      </c>
      <c r="I7" s="22">
        <v>0.28699999999999998</v>
      </c>
      <c r="J7" s="21">
        <v>216070</v>
      </c>
      <c r="K7" s="22">
        <v>0.64600000000000002</v>
      </c>
      <c r="L7" s="21">
        <v>1952778</v>
      </c>
      <c r="M7" s="24">
        <v>1623.5</v>
      </c>
      <c r="N7" s="19">
        <v>2.77</v>
      </c>
      <c r="O7" s="19">
        <v>14.6</v>
      </c>
      <c r="P7" s="19">
        <v>13.5</v>
      </c>
      <c r="Q7" s="19">
        <v>17.13</v>
      </c>
    </row>
    <row r="8" spans="1:17" x14ac:dyDescent="0.25">
      <c r="A8" s="19">
        <v>7</v>
      </c>
      <c r="B8" s="19" t="s">
        <v>24</v>
      </c>
      <c r="C8" s="19" t="s">
        <v>25</v>
      </c>
      <c r="D8" s="20">
        <v>44303</v>
      </c>
      <c r="E8" s="19" t="s">
        <v>26</v>
      </c>
      <c r="F8" s="21">
        <v>2091</v>
      </c>
      <c r="G8" s="22">
        <v>0.14799999999999999</v>
      </c>
      <c r="H8" s="21">
        <v>2091</v>
      </c>
      <c r="I8" s="22">
        <v>0.185</v>
      </c>
      <c r="J8" s="21">
        <v>1393</v>
      </c>
      <c r="K8" s="22">
        <v>0.52200000000000002</v>
      </c>
      <c r="L8" s="21">
        <v>14105</v>
      </c>
      <c r="M8" s="19">
        <v>24.86</v>
      </c>
      <c r="N8" s="19">
        <v>2.73</v>
      </c>
      <c r="O8" s="19">
        <v>18.3</v>
      </c>
      <c r="P8" s="19">
        <v>12.2</v>
      </c>
      <c r="Q8" s="19">
        <v>18.93</v>
      </c>
    </row>
    <row r="9" spans="1:17" x14ac:dyDescent="0.25">
      <c r="A9" s="19">
        <v>8</v>
      </c>
      <c r="B9" s="19" t="s">
        <v>27</v>
      </c>
      <c r="C9" s="19" t="s">
        <v>17</v>
      </c>
      <c r="D9" s="20">
        <v>44303</v>
      </c>
      <c r="E9" s="19">
        <v>155.63</v>
      </c>
      <c r="F9" s="21">
        <v>62174</v>
      </c>
      <c r="G9" s="22">
        <v>0.32900000000000001</v>
      </c>
      <c r="H9" s="21">
        <v>62148</v>
      </c>
      <c r="I9" s="22">
        <v>0.373</v>
      </c>
      <c r="J9" s="21">
        <v>50064</v>
      </c>
      <c r="K9" s="23">
        <v>0.65</v>
      </c>
      <c r="L9" s="21">
        <v>188910</v>
      </c>
      <c r="M9" s="19">
        <v>277.36</v>
      </c>
      <c r="N9" s="19">
        <v>2.2799999999999998</v>
      </c>
      <c r="O9" s="19">
        <v>11.3</v>
      </c>
      <c r="P9" s="19">
        <v>11.1</v>
      </c>
      <c r="Q9" s="19">
        <v>40.799999999999997</v>
      </c>
    </row>
    <row r="10" spans="1:17" x14ac:dyDescent="0.25">
      <c r="A10" s="19">
        <v>9</v>
      </c>
      <c r="B10" s="19" t="s">
        <v>28</v>
      </c>
      <c r="C10" s="19" t="s">
        <v>19</v>
      </c>
      <c r="D10" s="20">
        <v>44303</v>
      </c>
      <c r="E10" s="19">
        <v>93.55</v>
      </c>
      <c r="F10" s="21">
        <v>39544</v>
      </c>
      <c r="G10" s="22">
        <v>0.26400000000000001</v>
      </c>
      <c r="H10" s="21">
        <v>39538</v>
      </c>
      <c r="I10" s="23">
        <v>0.31</v>
      </c>
      <c r="J10" s="21">
        <v>32417</v>
      </c>
      <c r="K10" s="23">
        <v>0.59</v>
      </c>
      <c r="L10" s="21">
        <v>149657</v>
      </c>
      <c r="M10" s="19">
        <v>257.18</v>
      </c>
      <c r="N10" s="19">
        <v>2.2400000000000002</v>
      </c>
      <c r="O10" s="19">
        <v>10.4</v>
      </c>
      <c r="P10" s="19">
        <v>16.7</v>
      </c>
      <c r="Q10" s="19">
        <v>36.71</v>
      </c>
    </row>
    <row r="11" spans="1:17" x14ac:dyDescent="0.25">
      <c r="A11" s="19">
        <v>10</v>
      </c>
      <c r="B11" s="19" t="s">
        <v>29</v>
      </c>
      <c r="C11" s="19" t="s">
        <v>17</v>
      </c>
      <c r="D11" s="20">
        <v>44303</v>
      </c>
      <c r="E11" s="19">
        <v>103.08</v>
      </c>
      <c r="F11" s="21">
        <v>37754</v>
      </c>
      <c r="G11" s="22">
        <v>0.17199999999999999</v>
      </c>
      <c r="H11" s="21">
        <v>37725</v>
      </c>
      <c r="I11" s="22">
        <v>0.223</v>
      </c>
      <c r="J11" s="21">
        <v>20406</v>
      </c>
      <c r="K11" s="22">
        <v>0.56899999999999995</v>
      </c>
      <c r="L11" s="21">
        <v>219252</v>
      </c>
      <c r="M11" s="19">
        <v>362.63</v>
      </c>
      <c r="N11" s="19">
        <v>2.81</v>
      </c>
      <c r="O11" s="19">
        <v>10.4</v>
      </c>
      <c r="P11" s="19">
        <v>10.6</v>
      </c>
      <c r="Q11" s="19">
        <v>16.350000000000001</v>
      </c>
    </row>
    <row r="12" spans="1:17" x14ac:dyDescent="0.25">
      <c r="A12" s="19">
        <v>11</v>
      </c>
      <c r="B12" s="19" t="s">
        <v>30</v>
      </c>
      <c r="C12" s="19" t="s">
        <v>17</v>
      </c>
      <c r="D12" s="20">
        <v>44303</v>
      </c>
      <c r="E12" s="19">
        <v>180.83</v>
      </c>
      <c r="F12" s="21">
        <v>114820</v>
      </c>
      <c r="G12" s="22">
        <v>0.29799999999999999</v>
      </c>
      <c r="H12" s="21">
        <v>114786</v>
      </c>
      <c r="I12" s="22">
        <v>0.35899999999999999</v>
      </c>
      <c r="J12" s="21">
        <v>89089</v>
      </c>
      <c r="K12" s="22">
        <v>0.70299999999999996</v>
      </c>
      <c r="L12" s="21">
        <v>384902</v>
      </c>
      <c r="M12" s="19">
        <v>192.75</v>
      </c>
      <c r="N12" s="19">
        <v>2.5499999999999998</v>
      </c>
      <c r="O12" s="19">
        <v>16.5</v>
      </c>
      <c r="P12" s="19">
        <v>12.3</v>
      </c>
      <c r="Q12" s="19">
        <v>32.92</v>
      </c>
    </row>
    <row r="13" spans="1:17" x14ac:dyDescent="0.25">
      <c r="A13" s="19">
        <v>12</v>
      </c>
      <c r="B13" s="19" t="s">
        <v>31</v>
      </c>
      <c r="C13" s="19" t="s">
        <v>19</v>
      </c>
      <c r="D13" s="20">
        <v>44303</v>
      </c>
      <c r="E13" s="19">
        <v>80.91</v>
      </c>
      <c r="F13" s="21">
        <v>12118</v>
      </c>
      <c r="G13" s="22">
        <v>0.16900000000000001</v>
      </c>
      <c r="H13" s="21">
        <v>12115</v>
      </c>
      <c r="I13" s="22">
        <v>0.215</v>
      </c>
      <c r="J13" s="21">
        <v>7652</v>
      </c>
      <c r="K13" s="22">
        <v>0.55400000000000005</v>
      </c>
      <c r="L13" s="21">
        <v>71686</v>
      </c>
      <c r="M13" s="19">
        <v>89.88</v>
      </c>
      <c r="N13" s="19">
        <v>2.57</v>
      </c>
      <c r="O13" s="19">
        <v>12.4</v>
      </c>
      <c r="P13" s="19">
        <v>17.399999999999999</v>
      </c>
      <c r="Q13" s="19">
        <v>19.260000000000002</v>
      </c>
    </row>
    <row r="14" spans="1:17" x14ac:dyDescent="0.25">
      <c r="A14" s="19">
        <v>13</v>
      </c>
      <c r="B14" s="19" t="s">
        <v>32</v>
      </c>
      <c r="C14" s="19" t="s">
        <v>17</v>
      </c>
      <c r="D14" s="20">
        <v>44303</v>
      </c>
      <c r="E14" s="19">
        <v>184.21</v>
      </c>
      <c r="F14" s="21">
        <v>5808</v>
      </c>
      <c r="G14" s="22">
        <v>0.153</v>
      </c>
      <c r="H14" s="21">
        <v>5808</v>
      </c>
      <c r="I14" s="22">
        <v>0.188</v>
      </c>
      <c r="J14" s="21">
        <v>4424</v>
      </c>
      <c r="K14" s="22">
        <v>0.51700000000000002</v>
      </c>
      <c r="L14" s="21">
        <v>38001</v>
      </c>
      <c r="M14" s="19">
        <v>59.68</v>
      </c>
      <c r="N14" s="19">
        <v>2.74</v>
      </c>
      <c r="O14" s="19">
        <v>18.399999999999999</v>
      </c>
      <c r="P14" s="19">
        <v>28.5</v>
      </c>
      <c r="Q14" s="19">
        <v>22.52</v>
      </c>
    </row>
    <row r="15" spans="1:17" x14ac:dyDescent="0.25">
      <c r="A15" s="19">
        <v>14</v>
      </c>
      <c r="B15" s="19" t="s">
        <v>33</v>
      </c>
      <c r="C15" s="19" t="s">
        <v>17</v>
      </c>
      <c r="D15" s="20">
        <v>44303</v>
      </c>
      <c r="E15" s="19">
        <v>101.03</v>
      </c>
      <c r="F15" s="21">
        <v>2390</v>
      </c>
      <c r="G15" s="22">
        <v>0.14199999999999999</v>
      </c>
      <c r="H15" s="21">
        <v>2390</v>
      </c>
      <c r="I15" s="22">
        <v>0.17399999999999999</v>
      </c>
      <c r="J15" s="21">
        <v>1839</v>
      </c>
      <c r="K15" s="22">
        <v>0.46200000000000002</v>
      </c>
      <c r="L15" s="21">
        <v>16826</v>
      </c>
      <c r="M15" s="19">
        <v>23.86</v>
      </c>
      <c r="N15" s="19">
        <v>2.2799999999999998</v>
      </c>
      <c r="O15" s="19">
        <v>17.2</v>
      </c>
      <c r="P15" s="19">
        <v>23.1</v>
      </c>
      <c r="Q15" s="19">
        <v>23.68</v>
      </c>
    </row>
    <row r="16" spans="1:17" x14ac:dyDescent="0.25">
      <c r="A16" s="19">
        <v>15</v>
      </c>
      <c r="B16" s="19" t="s">
        <v>34</v>
      </c>
      <c r="C16" s="19" t="s">
        <v>17</v>
      </c>
      <c r="D16" s="20">
        <v>44303</v>
      </c>
      <c r="E16" s="19">
        <v>123.83</v>
      </c>
      <c r="F16" s="21">
        <v>216620</v>
      </c>
      <c r="G16" s="22">
        <v>0.22600000000000001</v>
      </c>
      <c r="H16" s="21">
        <v>216418</v>
      </c>
      <c r="I16" s="22">
        <v>0.29199999999999998</v>
      </c>
      <c r="J16" s="21">
        <v>96127</v>
      </c>
      <c r="K16" s="22">
        <v>0.69399999999999995</v>
      </c>
      <c r="L16" s="21">
        <v>957755</v>
      </c>
      <c r="M16" s="24">
        <v>1255.8599999999999</v>
      </c>
      <c r="N16" s="19">
        <v>2.5499999999999998</v>
      </c>
      <c r="O16" s="19">
        <v>12</v>
      </c>
      <c r="P16" s="19">
        <v>15.5</v>
      </c>
      <c r="Q16" s="19">
        <v>14.47</v>
      </c>
    </row>
    <row r="17" spans="1:17" x14ac:dyDescent="0.25">
      <c r="A17" s="19">
        <v>16</v>
      </c>
      <c r="B17" s="19" t="s">
        <v>35</v>
      </c>
      <c r="C17" s="19" t="s">
        <v>19</v>
      </c>
      <c r="D17" s="20">
        <v>44303</v>
      </c>
      <c r="E17" s="19">
        <v>92.36</v>
      </c>
      <c r="F17" s="21">
        <v>67586</v>
      </c>
      <c r="G17" s="22">
        <v>0.21199999999999999</v>
      </c>
      <c r="H17" s="21">
        <v>67555</v>
      </c>
      <c r="I17" s="22">
        <v>0.26800000000000002</v>
      </c>
      <c r="J17" s="21">
        <v>35283</v>
      </c>
      <c r="K17" s="22">
        <v>0.64700000000000002</v>
      </c>
      <c r="L17" s="21">
        <v>318316</v>
      </c>
      <c r="M17" s="19">
        <v>484.52</v>
      </c>
      <c r="N17" s="19">
        <v>2.4700000000000002</v>
      </c>
      <c r="O17" s="19">
        <v>10.199999999999999</v>
      </c>
      <c r="P17" s="19">
        <v>13.9</v>
      </c>
      <c r="Q17" s="19">
        <v>17.14</v>
      </c>
    </row>
    <row r="18" spans="1:17" x14ac:dyDescent="0.25">
      <c r="A18" s="19">
        <v>17</v>
      </c>
      <c r="B18" s="19" t="s">
        <v>36</v>
      </c>
      <c r="C18" s="19" t="s">
        <v>17</v>
      </c>
      <c r="D18" s="20">
        <v>44303</v>
      </c>
      <c r="E18" s="19">
        <v>125.13</v>
      </c>
      <c r="F18" s="21">
        <v>32738</v>
      </c>
      <c r="G18" s="22">
        <v>0.28399999999999997</v>
      </c>
      <c r="H18" s="21">
        <v>32728</v>
      </c>
      <c r="I18" s="22">
        <v>0.34100000000000003</v>
      </c>
      <c r="J18" s="21">
        <v>24437</v>
      </c>
      <c r="K18" s="22">
        <v>0.68100000000000005</v>
      </c>
      <c r="L18" s="21">
        <v>115081</v>
      </c>
      <c r="M18" s="19">
        <v>237.21</v>
      </c>
      <c r="N18" s="19">
        <v>2.62</v>
      </c>
      <c r="O18" s="19">
        <v>12.7</v>
      </c>
      <c r="P18" s="19">
        <v>11.9</v>
      </c>
      <c r="Q18" s="19">
        <v>31.19</v>
      </c>
    </row>
    <row r="19" spans="1:17" x14ac:dyDescent="0.25">
      <c r="A19" s="19">
        <v>18</v>
      </c>
      <c r="B19" s="19" t="s">
        <v>37</v>
      </c>
      <c r="C19" s="19" t="s">
        <v>17</v>
      </c>
      <c r="D19" s="20">
        <v>44303</v>
      </c>
      <c r="E19" s="19" t="s">
        <v>26</v>
      </c>
      <c r="F19" s="21">
        <v>2883</v>
      </c>
      <c r="G19" s="22">
        <v>0.23799999999999999</v>
      </c>
      <c r="H19" s="21">
        <v>2883</v>
      </c>
      <c r="I19" s="22">
        <v>0.28100000000000003</v>
      </c>
      <c r="J19" s="21">
        <v>2046</v>
      </c>
      <c r="K19" s="22">
        <v>0.69899999999999995</v>
      </c>
      <c r="L19" s="21">
        <v>12125</v>
      </c>
      <c r="M19" s="19">
        <v>22.24</v>
      </c>
      <c r="N19" s="19">
        <v>2.35</v>
      </c>
      <c r="O19" s="19">
        <v>18.3</v>
      </c>
      <c r="P19" s="19">
        <v>20.7</v>
      </c>
      <c r="Q19" s="19">
        <v>24.13</v>
      </c>
    </row>
    <row r="20" spans="1:17" x14ac:dyDescent="0.25">
      <c r="A20" s="19">
        <v>19</v>
      </c>
      <c r="B20" s="19" t="s">
        <v>38</v>
      </c>
      <c r="C20" s="19" t="s">
        <v>19</v>
      </c>
      <c r="D20" s="20">
        <v>44303</v>
      </c>
      <c r="E20" s="19">
        <v>67.89</v>
      </c>
      <c r="F20" s="21">
        <v>11136</v>
      </c>
      <c r="G20" s="22">
        <v>0.24399999999999999</v>
      </c>
      <c r="H20" s="21">
        <v>11130</v>
      </c>
      <c r="I20" s="22">
        <v>0.311</v>
      </c>
      <c r="J20" s="21">
        <v>5884</v>
      </c>
      <c r="K20" s="22">
        <v>0.68899999999999995</v>
      </c>
      <c r="L20" s="21">
        <v>45660</v>
      </c>
      <c r="M20" s="19">
        <v>88.44</v>
      </c>
      <c r="N20" s="19">
        <v>2.4700000000000002</v>
      </c>
      <c r="O20" s="19">
        <v>14.9</v>
      </c>
      <c r="P20" s="19">
        <v>24.6</v>
      </c>
      <c r="Q20" s="19">
        <v>18.7</v>
      </c>
    </row>
    <row r="21" spans="1:17" x14ac:dyDescent="0.25">
      <c r="A21" s="19">
        <v>20</v>
      </c>
      <c r="B21" s="19" t="s">
        <v>39</v>
      </c>
      <c r="C21" s="19" t="s">
        <v>17</v>
      </c>
      <c r="D21" s="20">
        <v>44303</v>
      </c>
      <c r="E21" s="19">
        <v>193.74</v>
      </c>
      <c r="F21" s="21">
        <v>2686</v>
      </c>
      <c r="G21" s="22">
        <v>0.14499999999999999</v>
      </c>
      <c r="H21" s="21">
        <v>2684</v>
      </c>
      <c r="I21" s="23">
        <v>0.18</v>
      </c>
      <c r="J21" s="21">
        <v>1813</v>
      </c>
      <c r="K21" s="22">
        <v>0.47199999999999998</v>
      </c>
      <c r="L21" s="21">
        <v>18582</v>
      </c>
      <c r="M21" s="19">
        <v>53.14</v>
      </c>
      <c r="N21" s="19">
        <v>2.5</v>
      </c>
      <c r="O21" s="19">
        <v>18.100000000000001</v>
      </c>
      <c r="P21" s="19">
        <v>17.899999999999999</v>
      </c>
      <c r="Q21" s="19">
        <v>20.65</v>
      </c>
    </row>
    <row r="22" spans="1:17" x14ac:dyDescent="0.25">
      <c r="A22" s="19">
        <v>21</v>
      </c>
      <c r="B22" s="19" t="s">
        <v>40</v>
      </c>
      <c r="C22" s="19" t="s">
        <v>25</v>
      </c>
      <c r="D22" s="20">
        <v>44303</v>
      </c>
      <c r="E22" s="19" t="s">
        <v>26</v>
      </c>
      <c r="F22" s="21">
        <v>1770</v>
      </c>
      <c r="G22" s="22">
        <v>0.128</v>
      </c>
      <c r="H22" s="21">
        <v>1770</v>
      </c>
      <c r="I22" s="23">
        <v>0.15</v>
      </c>
      <c r="J22" s="21">
        <v>1323</v>
      </c>
      <c r="K22" s="22">
        <v>0.34699999999999998</v>
      </c>
      <c r="L22" s="21">
        <v>13811</v>
      </c>
      <c r="M22" s="19">
        <v>17.12</v>
      </c>
      <c r="N22" s="19">
        <v>2.71</v>
      </c>
      <c r="O22" s="19">
        <v>19.899999999999999</v>
      </c>
      <c r="P22" s="19">
        <v>17</v>
      </c>
      <c r="Q22" s="19">
        <v>27.57</v>
      </c>
    </row>
    <row r="23" spans="1:17" x14ac:dyDescent="0.25">
      <c r="A23" s="19">
        <v>22</v>
      </c>
      <c r="B23" s="19" t="s">
        <v>41</v>
      </c>
      <c r="C23" s="19" t="s">
        <v>25</v>
      </c>
      <c r="D23" s="20">
        <v>44303</v>
      </c>
      <c r="E23" s="19" t="s">
        <v>26</v>
      </c>
      <c r="F23" s="21">
        <v>3077</v>
      </c>
      <c r="G23" s="22">
        <v>0.22600000000000001</v>
      </c>
      <c r="H23" s="21">
        <v>3077</v>
      </c>
      <c r="I23" s="22">
        <v>0.27600000000000002</v>
      </c>
      <c r="J23" s="21">
        <v>2276</v>
      </c>
      <c r="K23" s="23">
        <v>0.63</v>
      </c>
      <c r="L23" s="21">
        <v>13639</v>
      </c>
      <c r="M23" s="19">
        <v>24.64</v>
      </c>
      <c r="N23" s="19">
        <v>2.5499999999999998</v>
      </c>
      <c r="O23" s="19">
        <v>11.4</v>
      </c>
      <c r="P23" s="19">
        <v>13.9</v>
      </c>
      <c r="Q23" s="19">
        <v>26.5</v>
      </c>
    </row>
    <row r="24" spans="1:17" x14ac:dyDescent="0.25">
      <c r="A24" s="19">
        <v>23</v>
      </c>
      <c r="B24" s="19" t="s">
        <v>42</v>
      </c>
      <c r="C24" s="19" t="s">
        <v>19</v>
      </c>
      <c r="D24" s="20">
        <v>44303</v>
      </c>
      <c r="E24" s="19" t="s">
        <v>26</v>
      </c>
      <c r="F24" s="21">
        <v>2211</v>
      </c>
      <c r="G24" s="22">
        <v>0.153</v>
      </c>
      <c r="H24" s="21">
        <v>2211</v>
      </c>
      <c r="I24" s="22">
        <v>0.189</v>
      </c>
      <c r="J24" s="21">
        <v>1502</v>
      </c>
      <c r="K24" s="22">
        <v>0.56399999999999995</v>
      </c>
      <c r="L24" s="21">
        <v>14428</v>
      </c>
      <c r="M24" s="19">
        <v>28.08</v>
      </c>
      <c r="N24" s="19">
        <v>2.44</v>
      </c>
      <c r="O24" s="19">
        <v>14.3</v>
      </c>
      <c r="P24" s="19">
        <v>29.5</v>
      </c>
      <c r="Q24" s="19">
        <v>18.46</v>
      </c>
    </row>
    <row r="25" spans="1:17" x14ac:dyDescent="0.25">
      <c r="A25" s="19">
        <v>24</v>
      </c>
      <c r="B25" s="19" t="s">
        <v>43</v>
      </c>
      <c r="C25" s="19" t="s">
        <v>17</v>
      </c>
      <c r="D25" s="20">
        <v>44303</v>
      </c>
      <c r="E25" s="19">
        <v>144.78</v>
      </c>
      <c r="F25" s="21">
        <v>3107</v>
      </c>
      <c r="G25" s="22">
        <v>0.115</v>
      </c>
      <c r="H25" s="21">
        <v>3106</v>
      </c>
      <c r="I25" s="22">
        <v>0.155</v>
      </c>
      <c r="J25" s="21">
        <v>2328</v>
      </c>
      <c r="K25" s="22">
        <v>0.496</v>
      </c>
      <c r="L25" s="21">
        <v>26937</v>
      </c>
      <c r="M25" s="19">
        <v>42.25</v>
      </c>
      <c r="N25" s="19">
        <v>3.22</v>
      </c>
      <c r="O25" s="19">
        <v>12.2</v>
      </c>
      <c r="P25" s="19">
        <v>26.7</v>
      </c>
      <c r="Q25" s="19">
        <v>17.43</v>
      </c>
    </row>
    <row r="26" spans="1:17" x14ac:dyDescent="0.25">
      <c r="A26" s="19">
        <v>25</v>
      </c>
      <c r="B26" s="19" t="s">
        <v>44</v>
      </c>
      <c r="C26" s="19" t="s">
        <v>17</v>
      </c>
      <c r="D26" s="20">
        <v>44303</v>
      </c>
      <c r="E26" s="19">
        <v>135.63999999999999</v>
      </c>
      <c r="F26" s="21">
        <v>6087</v>
      </c>
      <c r="G26" s="22">
        <v>0.14499999999999999</v>
      </c>
      <c r="H26" s="21">
        <v>6084</v>
      </c>
      <c r="I26" s="22">
        <v>0.19800000000000001</v>
      </c>
      <c r="J26" s="21">
        <v>3552</v>
      </c>
      <c r="K26" s="22">
        <v>0.61499999999999999</v>
      </c>
      <c r="L26" s="21">
        <v>42022</v>
      </c>
      <c r="M26" s="19">
        <v>36.340000000000003</v>
      </c>
      <c r="N26" s="19">
        <v>3.17</v>
      </c>
      <c r="O26" s="19">
        <v>26.2</v>
      </c>
      <c r="P26" s="19">
        <v>26.8</v>
      </c>
      <c r="Q26" s="19">
        <v>13.75</v>
      </c>
    </row>
    <row r="27" spans="1:17" x14ac:dyDescent="0.25">
      <c r="A27" s="19">
        <v>26</v>
      </c>
      <c r="B27" s="19" t="s">
        <v>45</v>
      </c>
      <c r="C27" s="19" t="s">
        <v>17</v>
      </c>
      <c r="D27" s="20">
        <v>44303</v>
      </c>
      <c r="E27" s="19">
        <v>149.55000000000001</v>
      </c>
      <c r="F27" s="21">
        <v>42467</v>
      </c>
      <c r="G27" s="22">
        <v>0.219</v>
      </c>
      <c r="H27" s="21">
        <v>42448</v>
      </c>
      <c r="I27" s="22">
        <v>0.26800000000000002</v>
      </c>
      <c r="J27" s="21">
        <v>30747</v>
      </c>
      <c r="K27" s="22">
        <v>0.57599999999999996</v>
      </c>
      <c r="L27" s="21">
        <v>193920</v>
      </c>
      <c r="M27" s="19">
        <v>410.01</v>
      </c>
      <c r="N27" s="19">
        <v>2.46</v>
      </c>
      <c r="O27" s="19">
        <v>12.6</v>
      </c>
      <c r="P27" s="19">
        <v>14.3</v>
      </c>
      <c r="Q27" s="19">
        <v>27.51</v>
      </c>
    </row>
    <row r="28" spans="1:17" x14ac:dyDescent="0.25">
      <c r="A28" s="19">
        <v>27</v>
      </c>
      <c r="B28" s="19" t="s">
        <v>46</v>
      </c>
      <c r="C28" s="19" t="s">
        <v>17</v>
      </c>
      <c r="D28" s="20">
        <v>44303</v>
      </c>
      <c r="E28" s="19">
        <v>165.69</v>
      </c>
      <c r="F28" s="21">
        <v>23506</v>
      </c>
      <c r="G28" s="22">
        <v>0.221</v>
      </c>
      <c r="H28" s="21">
        <v>23505</v>
      </c>
      <c r="I28" s="22">
        <v>0.26600000000000001</v>
      </c>
      <c r="J28" s="21">
        <v>19074</v>
      </c>
      <c r="K28" s="22">
        <v>0.498</v>
      </c>
      <c r="L28" s="21">
        <v>106221</v>
      </c>
      <c r="M28" s="19">
        <v>104.38</v>
      </c>
      <c r="N28" s="19">
        <v>2.44</v>
      </c>
      <c r="O28" s="19">
        <v>12.7</v>
      </c>
      <c r="P28" s="19">
        <v>19.2</v>
      </c>
      <c r="Q28" s="19">
        <v>36.049999999999997</v>
      </c>
    </row>
    <row r="29" spans="1:17" x14ac:dyDescent="0.25">
      <c r="A29" s="19">
        <v>28</v>
      </c>
      <c r="B29" s="19" t="s">
        <v>47</v>
      </c>
      <c r="C29" s="19" t="s">
        <v>17</v>
      </c>
      <c r="D29" s="20">
        <v>44303</v>
      </c>
      <c r="E29" s="19">
        <v>225.75</v>
      </c>
      <c r="F29" s="21">
        <v>295993</v>
      </c>
      <c r="G29" s="22">
        <v>0.20100000000000001</v>
      </c>
      <c r="H29" s="21">
        <v>295735</v>
      </c>
      <c r="I29" s="22">
        <v>0.25800000000000001</v>
      </c>
      <c r="J29" s="21">
        <v>126991</v>
      </c>
      <c r="K29" s="22">
        <v>0.59299999999999997</v>
      </c>
      <c r="L29" s="21">
        <v>1471968</v>
      </c>
      <c r="M29" s="24">
        <v>1440.39</v>
      </c>
      <c r="N29" s="19">
        <v>2.63</v>
      </c>
      <c r="O29" s="19">
        <v>13</v>
      </c>
      <c r="P29" s="19">
        <v>15.3</v>
      </c>
      <c r="Q29" s="19">
        <v>14.54</v>
      </c>
    </row>
    <row r="30" spans="1:17" x14ac:dyDescent="0.25">
      <c r="A30" s="19">
        <v>29</v>
      </c>
      <c r="B30" s="19" t="s">
        <v>48</v>
      </c>
      <c r="C30" s="19" t="s">
        <v>25</v>
      </c>
      <c r="D30" s="20">
        <v>44303</v>
      </c>
      <c r="E30" s="19" t="s">
        <v>26</v>
      </c>
      <c r="F30" s="21">
        <v>2525</v>
      </c>
      <c r="G30" s="22">
        <v>0.129</v>
      </c>
      <c r="H30" s="21">
        <v>2524</v>
      </c>
      <c r="I30" s="22">
        <v>0.16200000000000001</v>
      </c>
      <c r="J30" s="21">
        <v>1705</v>
      </c>
      <c r="K30" s="22">
        <v>0.435</v>
      </c>
      <c r="L30" s="21">
        <v>19617</v>
      </c>
      <c r="M30" s="19">
        <v>40.97</v>
      </c>
      <c r="N30" s="19">
        <v>2.5099999999999998</v>
      </c>
      <c r="O30" s="19">
        <v>18.899999999999999</v>
      </c>
      <c r="P30" s="19">
        <v>25.6</v>
      </c>
      <c r="Q30" s="19">
        <v>19.989999999999998</v>
      </c>
    </row>
    <row r="31" spans="1:17" x14ac:dyDescent="0.25">
      <c r="A31" s="19">
        <v>30</v>
      </c>
      <c r="B31" s="19" t="s">
        <v>49</v>
      </c>
      <c r="C31" s="19" t="s">
        <v>17</v>
      </c>
      <c r="D31" s="20">
        <v>44303</v>
      </c>
      <c r="E31" s="19">
        <v>109.43</v>
      </c>
      <c r="F31" s="21">
        <v>46776</v>
      </c>
      <c r="G31" s="22">
        <v>0.29199999999999998</v>
      </c>
      <c r="H31" s="21">
        <v>46760</v>
      </c>
      <c r="I31" s="22">
        <v>0.34699999999999998</v>
      </c>
      <c r="J31" s="21">
        <v>36117</v>
      </c>
      <c r="K31" s="22">
        <v>0.66700000000000004</v>
      </c>
      <c r="L31" s="21">
        <v>159923</v>
      </c>
      <c r="M31" s="19">
        <v>318.08</v>
      </c>
      <c r="N31" s="19">
        <v>2.6</v>
      </c>
      <c r="O31" s="19">
        <v>12.1</v>
      </c>
      <c r="P31" s="19">
        <v>12.2</v>
      </c>
      <c r="Q31" s="19">
        <v>33.85</v>
      </c>
    </row>
    <row r="32" spans="1:17" x14ac:dyDescent="0.25">
      <c r="A32" s="19">
        <v>31</v>
      </c>
      <c r="B32" s="19" t="s">
        <v>50</v>
      </c>
      <c r="C32" s="19" t="s">
        <v>25</v>
      </c>
      <c r="D32" s="20">
        <v>44303</v>
      </c>
      <c r="E32" s="19">
        <v>40.94</v>
      </c>
      <c r="F32" s="21">
        <v>8520</v>
      </c>
      <c r="G32" s="22">
        <v>0.184</v>
      </c>
      <c r="H32" s="21">
        <v>8519</v>
      </c>
      <c r="I32" s="22">
        <v>0.22600000000000001</v>
      </c>
      <c r="J32" s="21">
        <v>5152</v>
      </c>
      <c r="K32" s="22">
        <v>0.53800000000000003</v>
      </c>
      <c r="L32" s="21">
        <v>46414</v>
      </c>
      <c r="M32" s="19">
        <v>50.55</v>
      </c>
      <c r="N32" s="19">
        <v>2.4</v>
      </c>
      <c r="O32" s="19">
        <v>11.3</v>
      </c>
      <c r="P32" s="19">
        <v>20.6</v>
      </c>
      <c r="Q32" s="19">
        <v>20.62</v>
      </c>
    </row>
    <row r="33" spans="1:17" x14ac:dyDescent="0.25">
      <c r="A33" s="19">
        <v>32</v>
      </c>
      <c r="B33" s="19" t="s">
        <v>51</v>
      </c>
      <c r="C33" s="19" t="s">
        <v>19</v>
      </c>
      <c r="D33" s="20">
        <v>44303</v>
      </c>
      <c r="E33" s="19">
        <v>77.209999999999994</v>
      </c>
      <c r="F33" s="21">
        <v>4391</v>
      </c>
      <c r="G33" s="22">
        <v>0.308</v>
      </c>
      <c r="H33" s="21">
        <v>4391</v>
      </c>
      <c r="I33" s="22">
        <v>0.36899999999999999</v>
      </c>
      <c r="J33" s="21">
        <v>3180</v>
      </c>
      <c r="K33" s="22">
        <v>0.90600000000000003</v>
      </c>
      <c r="L33" s="21">
        <v>14246</v>
      </c>
      <c r="M33" s="19">
        <v>23.82</v>
      </c>
      <c r="N33" s="19">
        <v>2.04</v>
      </c>
      <c r="O33" s="19">
        <v>6.4</v>
      </c>
      <c r="P33" s="19">
        <v>14.1</v>
      </c>
      <c r="Q33" s="19">
        <v>24.65</v>
      </c>
    </row>
    <row r="34" spans="1:17" x14ac:dyDescent="0.25">
      <c r="A34" s="19">
        <v>33</v>
      </c>
      <c r="B34" s="19" t="s">
        <v>52</v>
      </c>
      <c r="C34" s="19" t="s">
        <v>25</v>
      </c>
      <c r="D34" s="20">
        <v>44303</v>
      </c>
      <c r="E34" s="19" t="s">
        <v>26</v>
      </c>
      <c r="F34" s="21">
        <v>1286</v>
      </c>
      <c r="G34" s="22">
        <v>0.153</v>
      </c>
      <c r="H34" s="21">
        <v>1286</v>
      </c>
      <c r="I34" s="22">
        <v>0.191</v>
      </c>
      <c r="J34" s="21">
        <v>1058</v>
      </c>
      <c r="K34" s="22">
        <v>0.72699999999999998</v>
      </c>
      <c r="L34" s="21">
        <v>8422</v>
      </c>
      <c r="M34" s="19">
        <v>15.5</v>
      </c>
      <c r="N34" s="19">
        <v>3.43</v>
      </c>
      <c r="O34" s="19">
        <v>17.600000000000001</v>
      </c>
      <c r="P34" s="19">
        <v>20.100000000000001</v>
      </c>
      <c r="Q34" s="19">
        <v>17.28</v>
      </c>
    </row>
    <row r="35" spans="1:17" x14ac:dyDescent="0.25">
      <c r="A35" s="19">
        <v>34</v>
      </c>
      <c r="B35" s="19" t="s">
        <v>53</v>
      </c>
      <c r="C35" s="19" t="s">
        <v>17</v>
      </c>
      <c r="D35" s="20">
        <v>44303</v>
      </c>
      <c r="E35" s="19">
        <v>190.95</v>
      </c>
      <c r="F35" s="21">
        <v>102215</v>
      </c>
      <c r="G35" s="22">
        <v>0.27800000000000002</v>
      </c>
      <c r="H35" s="21">
        <v>102127</v>
      </c>
      <c r="I35" s="22">
        <v>0.34300000000000003</v>
      </c>
      <c r="J35" s="21">
        <v>73774</v>
      </c>
      <c r="K35" s="22">
        <v>0.74199999999999999</v>
      </c>
      <c r="L35" s="21">
        <v>367118</v>
      </c>
      <c r="M35" s="19">
        <v>386.13</v>
      </c>
      <c r="N35" s="19">
        <v>2.5499999999999998</v>
      </c>
      <c r="O35" s="19">
        <v>11.6</v>
      </c>
      <c r="P35" s="19">
        <v>12.5</v>
      </c>
      <c r="Q35" s="19">
        <v>27.07</v>
      </c>
    </row>
    <row r="36" spans="1:17" x14ac:dyDescent="0.25">
      <c r="A36" s="19">
        <v>35</v>
      </c>
      <c r="B36" s="19" t="s">
        <v>54</v>
      </c>
      <c r="C36" s="19" t="s">
        <v>17</v>
      </c>
      <c r="D36" s="20">
        <v>44303</v>
      </c>
      <c r="E36" s="19">
        <v>205.69</v>
      </c>
      <c r="F36" s="21">
        <v>180522</v>
      </c>
      <c r="G36" s="22">
        <v>0.23400000000000001</v>
      </c>
      <c r="H36" s="21">
        <v>180487</v>
      </c>
      <c r="I36" s="22">
        <v>0.28299999999999997</v>
      </c>
      <c r="J36" s="21">
        <v>137247</v>
      </c>
      <c r="K36" s="22">
        <v>0.61099999999999999</v>
      </c>
      <c r="L36" s="21">
        <v>770577</v>
      </c>
      <c r="M36" s="19">
        <v>986.08</v>
      </c>
      <c r="N36" s="19">
        <v>2.61</v>
      </c>
      <c r="O36" s="19">
        <v>14.3</v>
      </c>
      <c r="P36" s="19">
        <v>14</v>
      </c>
      <c r="Q36" s="19">
        <v>29.15</v>
      </c>
    </row>
    <row r="37" spans="1:17" x14ac:dyDescent="0.25">
      <c r="A37" s="19">
        <v>36</v>
      </c>
      <c r="B37" s="19" t="s">
        <v>55</v>
      </c>
      <c r="C37" s="19" t="s">
        <v>19</v>
      </c>
      <c r="D37" s="20">
        <v>44303</v>
      </c>
      <c r="E37" s="19">
        <v>88.22</v>
      </c>
      <c r="F37" s="21">
        <v>67155</v>
      </c>
      <c r="G37" s="22">
        <v>0.22900000000000001</v>
      </c>
      <c r="H37" s="21">
        <v>67072</v>
      </c>
      <c r="I37" s="22">
        <v>0.28100000000000003</v>
      </c>
      <c r="J37" s="21">
        <v>31433</v>
      </c>
      <c r="K37" s="22">
        <v>0.77100000000000002</v>
      </c>
      <c r="L37" s="21">
        <v>293582</v>
      </c>
      <c r="M37" s="19">
        <v>440.23</v>
      </c>
      <c r="N37" s="19">
        <v>2.4300000000000002</v>
      </c>
      <c r="O37" s="19">
        <v>8.1999999999999993</v>
      </c>
      <c r="P37" s="19">
        <v>20.399999999999999</v>
      </c>
      <c r="Q37" s="19">
        <v>13.89</v>
      </c>
    </row>
    <row r="38" spans="1:17" x14ac:dyDescent="0.25">
      <c r="A38" s="19">
        <v>37</v>
      </c>
      <c r="B38" s="19" t="s">
        <v>56</v>
      </c>
      <c r="C38" s="19" t="s">
        <v>17</v>
      </c>
      <c r="D38" s="20">
        <v>44303</v>
      </c>
      <c r="E38" s="19">
        <v>199.99</v>
      </c>
      <c r="F38" s="21">
        <v>7298</v>
      </c>
      <c r="G38" s="22">
        <v>0.17599999999999999</v>
      </c>
      <c r="H38" s="21">
        <v>7293</v>
      </c>
      <c r="I38" s="22">
        <v>0.218</v>
      </c>
      <c r="J38" s="21">
        <v>5264</v>
      </c>
      <c r="K38" s="22">
        <v>0.504</v>
      </c>
      <c r="L38" s="21">
        <v>41503</v>
      </c>
      <c r="M38" s="19">
        <v>37.119999999999997</v>
      </c>
      <c r="N38" s="19">
        <v>2.41</v>
      </c>
      <c r="O38" s="19">
        <v>15.5</v>
      </c>
      <c r="P38" s="19">
        <v>20.7</v>
      </c>
      <c r="Q38" s="19">
        <v>25.15</v>
      </c>
    </row>
    <row r="39" spans="1:17" x14ac:dyDescent="0.25">
      <c r="A39" s="19">
        <v>38</v>
      </c>
      <c r="B39" s="19" t="s">
        <v>57</v>
      </c>
      <c r="C39" s="19" t="s">
        <v>25</v>
      </c>
      <c r="D39" s="20">
        <v>44303</v>
      </c>
      <c r="E39" s="19" t="s">
        <v>26</v>
      </c>
      <c r="F39" s="21">
        <v>1165</v>
      </c>
      <c r="G39" s="22">
        <v>0.13900000000000001</v>
      </c>
      <c r="H39" s="21">
        <v>1165</v>
      </c>
      <c r="I39" s="22">
        <v>0.16900000000000001</v>
      </c>
      <c r="J39" s="19">
        <v>706</v>
      </c>
      <c r="K39" s="22">
        <v>0.56200000000000006</v>
      </c>
      <c r="L39" s="21">
        <v>8354</v>
      </c>
      <c r="M39" s="19">
        <v>10</v>
      </c>
      <c r="N39" s="19">
        <v>2.9</v>
      </c>
      <c r="O39" s="19">
        <v>18.5</v>
      </c>
      <c r="P39" s="19">
        <v>13</v>
      </c>
      <c r="Q39" s="19">
        <v>15.04</v>
      </c>
    </row>
    <row r="40" spans="1:17" x14ac:dyDescent="0.25">
      <c r="A40" s="19">
        <v>39</v>
      </c>
      <c r="B40" s="19" t="s">
        <v>58</v>
      </c>
      <c r="C40" s="19" t="s">
        <v>25</v>
      </c>
      <c r="D40" s="20">
        <v>44303</v>
      </c>
      <c r="E40" s="19" t="s">
        <v>26</v>
      </c>
      <c r="F40" s="21">
        <v>3777</v>
      </c>
      <c r="G40" s="22">
        <v>0.20399999999999999</v>
      </c>
      <c r="H40" s="21">
        <v>3776</v>
      </c>
      <c r="I40" s="23">
        <v>0.25</v>
      </c>
      <c r="J40" s="21">
        <v>2425</v>
      </c>
      <c r="K40" s="22">
        <v>0.621</v>
      </c>
      <c r="L40" s="21">
        <v>18493</v>
      </c>
      <c r="M40" s="19">
        <v>26.55</v>
      </c>
      <c r="N40" s="19">
        <v>2.4500000000000002</v>
      </c>
      <c r="O40" s="19">
        <v>13.1</v>
      </c>
      <c r="P40" s="19">
        <v>28.2</v>
      </c>
      <c r="Q40" s="19">
        <v>21.1</v>
      </c>
    </row>
    <row r="41" spans="1:17" x14ac:dyDescent="0.25">
      <c r="A41" s="19">
        <v>40</v>
      </c>
      <c r="B41" s="19" t="s">
        <v>59</v>
      </c>
      <c r="C41" s="19" t="s">
        <v>17</v>
      </c>
      <c r="D41" s="20">
        <v>44303</v>
      </c>
      <c r="E41" s="19">
        <v>208.31</v>
      </c>
      <c r="F41" s="21">
        <v>96589</v>
      </c>
      <c r="G41" s="23">
        <v>0.24</v>
      </c>
      <c r="H41" s="21">
        <v>96569</v>
      </c>
      <c r="I41" s="22">
        <v>0.29199999999999998</v>
      </c>
      <c r="J41" s="21">
        <v>70953</v>
      </c>
      <c r="K41" s="22">
        <v>0.627</v>
      </c>
      <c r="L41" s="21">
        <v>403253</v>
      </c>
      <c r="M41" s="19">
        <v>542.28</v>
      </c>
      <c r="N41" s="19">
        <v>2.57</v>
      </c>
      <c r="O41" s="19">
        <v>12.7</v>
      </c>
      <c r="P41" s="19">
        <v>12.5</v>
      </c>
      <c r="Q41" s="19">
        <v>28.06</v>
      </c>
    </row>
    <row r="42" spans="1:17" x14ac:dyDescent="0.25">
      <c r="A42" s="19">
        <v>41</v>
      </c>
      <c r="B42" s="19" t="s">
        <v>60</v>
      </c>
      <c r="C42" s="19" t="s">
        <v>19</v>
      </c>
      <c r="D42" s="20">
        <v>44303</v>
      </c>
      <c r="E42" s="19">
        <v>95.19</v>
      </c>
      <c r="F42" s="21">
        <v>86358</v>
      </c>
      <c r="G42" s="22">
        <v>0.23599999999999999</v>
      </c>
      <c r="H42" s="21">
        <v>86337</v>
      </c>
      <c r="I42" s="23">
        <v>0.28999999999999998</v>
      </c>
      <c r="J42" s="21">
        <v>64159</v>
      </c>
      <c r="K42" s="22">
        <v>0.60099999999999998</v>
      </c>
      <c r="L42" s="21">
        <v>365579</v>
      </c>
      <c r="M42" s="19">
        <v>230.15</v>
      </c>
      <c r="N42" s="19">
        <v>2.48</v>
      </c>
      <c r="O42" s="19">
        <v>12.3</v>
      </c>
      <c r="P42" s="19">
        <v>16.600000000000001</v>
      </c>
      <c r="Q42" s="19">
        <v>29.18</v>
      </c>
    </row>
    <row r="43" spans="1:17" x14ac:dyDescent="0.25">
      <c r="A43" s="19">
        <v>42</v>
      </c>
      <c r="B43" s="19" t="s">
        <v>61</v>
      </c>
      <c r="C43" s="19" t="s">
        <v>17</v>
      </c>
      <c r="D43" s="20">
        <v>44303</v>
      </c>
      <c r="E43" s="19">
        <v>115.53</v>
      </c>
      <c r="F43" s="21">
        <v>46344</v>
      </c>
      <c r="G43" s="22">
        <v>0.28799999999999998</v>
      </c>
      <c r="H43" s="21">
        <v>46325</v>
      </c>
      <c r="I43" s="22">
        <v>0.34300000000000003</v>
      </c>
      <c r="J43" s="21">
        <v>35781</v>
      </c>
      <c r="K43" s="22">
        <v>0.70499999999999996</v>
      </c>
      <c r="L43" s="21">
        <v>161000</v>
      </c>
      <c r="M43" s="19">
        <v>296.05</v>
      </c>
      <c r="N43" s="19">
        <v>2.41</v>
      </c>
      <c r="O43" s="19">
        <v>11.5</v>
      </c>
      <c r="P43" s="19">
        <v>10.5</v>
      </c>
      <c r="Q43" s="19">
        <v>31.53</v>
      </c>
    </row>
    <row r="44" spans="1:17" x14ac:dyDescent="0.25">
      <c r="A44" s="19">
        <v>43</v>
      </c>
      <c r="B44" s="19" t="s">
        <v>62</v>
      </c>
      <c r="C44" s="19" t="s">
        <v>17</v>
      </c>
      <c r="D44" s="20">
        <v>44303</v>
      </c>
      <c r="E44" s="19">
        <v>356.39</v>
      </c>
      <c r="F44" s="21">
        <v>660260</v>
      </c>
      <c r="G44" s="22">
        <v>0.24299999999999999</v>
      </c>
      <c r="H44" s="21">
        <v>658903</v>
      </c>
      <c r="I44" s="22">
        <v>0.30399999999999999</v>
      </c>
      <c r="J44" s="21">
        <v>294306</v>
      </c>
      <c r="K44" s="23">
        <v>0.65</v>
      </c>
      <c r="L44" s="21">
        <v>2716940</v>
      </c>
      <c r="M44" s="24">
        <v>1430.09</v>
      </c>
      <c r="N44" s="19">
        <v>3.07</v>
      </c>
      <c r="O44" s="19">
        <v>18.100000000000001</v>
      </c>
      <c r="P44" s="19">
        <v>18</v>
      </c>
      <c r="Q44" s="19">
        <v>16.66</v>
      </c>
    </row>
    <row r="45" spans="1:17" x14ac:dyDescent="0.25">
      <c r="A45" s="19">
        <v>44</v>
      </c>
      <c r="B45" s="19" t="s">
        <v>63</v>
      </c>
      <c r="C45" s="19" t="s">
        <v>17</v>
      </c>
      <c r="D45" s="20">
        <v>44303</v>
      </c>
      <c r="E45" s="19">
        <v>161.66</v>
      </c>
      <c r="F45" s="21">
        <v>20755</v>
      </c>
      <c r="G45" s="23">
        <v>0.28000000000000003</v>
      </c>
      <c r="H45" s="21">
        <v>20748</v>
      </c>
      <c r="I45" s="22">
        <v>0.32900000000000001</v>
      </c>
      <c r="J45" s="21">
        <v>13113</v>
      </c>
      <c r="K45" s="22">
        <v>0.74399999999999999</v>
      </c>
      <c r="L45" s="21">
        <v>74228</v>
      </c>
      <c r="M45" s="19">
        <v>75.510000000000005</v>
      </c>
      <c r="N45" s="19">
        <v>2.39</v>
      </c>
      <c r="O45" s="19">
        <v>17.8</v>
      </c>
      <c r="P45" s="19">
        <v>11.8</v>
      </c>
      <c r="Q45" s="19">
        <v>23.75</v>
      </c>
    </row>
    <row r="46" spans="1:17" x14ac:dyDescent="0.25">
      <c r="A46" s="19">
        <v>45</v>
      </c>
      <c r="B46" s="19" t="s">
        <v>64</v>
      </c>
      <c r="C46" s="19" t="s">
        <v>19</v>
      </c>
      <c r="D46" s="20">
        <v>44303</v>
      </c>
      <c r="E46" s="19">
        <v>65.44</v>
      </c>
      <c r="F46" s="21">
        <v>24257</v>
      </c>
      <c r="G46" s="22">
        <v>0.27400000000000002</v>
      </c>
      <c r="H46" s="21">
        <v>24244</v>
      </c>
      <c r="I46" s="22">
        <v>0.34100000000000003</v>
      </c>
      <c r="J46" s="21">
        <v>15506</v>
      </c>
      <c r="K46" s="22">
        <v>0.76600000000000001</v>
      </c>
      <c r="L46" s="21">
        <v>88625</v>
      </c>
      <c r="M46" s="19">
        <v>136.62</v>
      </c>
      <c r="N46" s="19">
        <v>2.5499999999999998</v>
      </c>
      <c r="O46" s="19">
        <v>11</v>
      </c>
      <c r="P46" s="19">
        <v>10.199999999999999</v>
      </c>
      <c r="Q46" s="19">
        <v>22.83</v>
      </c>
    </row>
    <row r="47" spans="1:17" x14ac:dyDescent="0.25">
      <c r="A47" s="19">
        <v>46</v>
      </c>
      <c r="B47" s="19" t="s">
        <v>65</v>
      </c>
      <c r="C47" s="19" t="s">
        <v>19</v>
      </c>
      <c r="D47" s="20">
        <v>44303</v>
      </c>
      <c r="E47" s="19">
        <v>90.16</v>
      </c>
      <c r="F47" s="21">
        <v>44209</v>
      </c>
      <c r="G47" s="23">
        <v>0.21</v>
      </c>
      <c r="H47" s="21">
        <v>44185</v>
      </c>
      <c r="I47" s="23">
        <v>0.27</v>
      </c>
      <c r="J47" s="21">
        <v>24195</v>
      </c>
      <c r="K47" s="22">
        <v>0.70399999999999996</v>
      </c>
      <c r="L47" s="21">
        <v>210738</v>
      </c>
      <c r="M47" s="19">
        <v>226.55</v>
      </c>
      <c r="N47" s="19">
        <v>2.52</v>
      </c>
      <c r="O47" s="19">
        <v>12.2</v>
      </c>
      <c r="P47" s="19">
        <v>11.5</v>
      </c>
      <c r="Q47" s="19">
        <v>16.309999999999999</v>
      </c>
    </row>
    <row r="48" spans="1:17" x14ac:dyDescent="0.25">
      <c r="A48" s="19">
        <v>47</v>
      </c>
      <c r="B48" s="19" t="s">
        <v>66</v>
      </c>
      <c r="C48" s="19" t="s">
        <v>17</v>
      </c>
      <c r="D48" s="20">
        <v>44303</v>
      </c>
      <c r="E48" s="19">
        <v>151.77000000000001</v>
      </c>
      <c r="F48" s="21">
        <v>6843</v>
      </c>
      <c r="G48" s="22">
        <v>0.16200000000000001</v>
      </c>
      <c r="H48" s="21">
        <v>6841</v>
      </c>
      <c r="I48" s="22">
        <v>0.20599999999999999</v>
      </c>
      <c r="J48" s="21">
        <v>5311</v>
      </c>
      <c r="K48" s="22">
        <v>0.626</v>
      </c>
      <c r="L48" s="21">
        <v>42168</v>
      </c>
      <c r="M48" s="19">
        <v>54.82</v>
      </c>
      <c r="N48" s="19">
        <v>2.73</v>
      </c>
      <c r="O48" s="19">
        <v>18.100000000000001</v>
      </c>
      <c r="P48" s="19">
        <v>22.7</v>
      </c>
      <c r="Q48" s="19">
        <v>20.12</v>
      </c>
    </row>
    <row r="49" spans="1:17" x14ac:dyDescent="0.25">
      <c r="A49" s="19">
        <v>48</v>
      </c>
      <c r="B49" s="19" t="s">
        <v>67</v>
      </c>
      <c r="C49" s="19" t="s">
        <v>17</v>
      </c>
      <c r="D49" s="20">
        <v>44303</v>
      </c>
      <c r="E49" s="19">
        <v>230.58</v>
      </c>
      <c r="F49" s="21">
        <v>285103</v>
      </c>
      <c r="G49" s="22">
        <v>0.20499999999999999</v>
      </c>
      <c r="H49" s="21">
        <v>284472</v>
      </c>
      <c r="I49" s="22">
        <v>0.26200000000000001</v>
      </c>
      <c r="J49" s="21">
        <v>114677</v>
      </c>
      <c r="K49" s="22">
        <v>0.66800000000000004</v>
      </c>
      <c r="L49" s="21">
        <v>1393452</v>
      </c>
      <c r="M49" s="24">
        <v>1545.08</v>
      </c>
      <c r="N49" s="19">
        <v>2.81</v>
      </c>
      <c r="O49" s="19">
        <v>14.5</v>
      </c>
      <c r="P49" s="19">
        <v>16.100000000000001</v>
      </c>
      <c r="Q49" s="19">
        <v>12.31</v>
      </c>
    </row>
    <row r="50" spans="1:17" x14ac:dyDescent="0.25">
      <c r="A50" s="19">
        <v>49</v>
      </c>
      <c r="B50" s="19" t="s">
        <v>68</v>
      </c>
      <c r="C50" s="19" t="s">
        <v>17</v>
      </c>
      <c r="D50" s="20">
        <v>44303</v>
      </c>
      <c r="E50" s="19">
        <v>309.51</v>
      </c>
      <c r="F50" s="21">
        <v>68542</v>
      </c>
      <c r="G50" s="22">
        <v>0.182</v>
      </c>
      <c r="H50" s="21">
        <v>68479</v>
      </c>
      <c r="I50" s="23">
        <v>0.24</v>
      </c>
      <c r="J50" s="21">
        <v>34170</v>
      </c>
      <c r="K50" s="22">
        <v>0.67300000000000004</v>
      </c>
      <c r="L50" s="21">
        <v>375751</v>
      </c>
      <c r="M50" s="19">
        <v>283.04000000000002</v>
      </c>
      <c r="N50" s="19">
        <v>3.4</v>
      </c>
      <c r="O50" s="19">
        <v>15.8</v>
      </c>
      <c r="P50" s="19">
        <v>16.3</v>
      </c>
      <c r="Q50" s="19">
        <v>13.52</v>
      </c>
    </row>
    <row r="51" spans="1:17" x14ac:dyDescent="0.25">
      <c r="A51" s="19">
        <v>50</v>
      </c>
      <c r="B51" s="19" t="s">
        <v>69</v>
      </c>
      <c r="C51" s="19" t="s">
        <v>17</v>
      </c>
      <c r="D51" s="20">
        <v>44303</v>
      </c>
      <c r="E51" s="19">
        <v>180.25</v>
      </c>
      <c r="F51" s="21">
        <v>375889</v>
      </c>
      <c r="G51" s="22">
        <v>0.251</v>
      </c>
      <c r="H51" s="21">
        <v>375526</v>
      </c>
      <c r="I51" s="23">
        <v>0.31</v>
      </c>
      <c r="J51" s="21">
        <v>243598</v>
      </c>
      <c r="K51" s="22">
        <v>0.66800000000000004</v>
      </c>
      <c r="L51" s="21">
        <v>1496770</v>
      </c>
      <c r="M51" s="19">
        <v>761.99</v>
      </c>
      <c r="N51" s="19">
        <v>2.6</v>
      </c>
      <c r="O51" s="19">
        <v>13.6</v>
      </c>
      <c r="P51" s="19">
        <v>12.8</v>
      </c>
      <c r="Q51" s="19">
        <v>24.36</v>
      </c>
    </row>
    <row r="52" spans="1:17" x14ac:dyDescent="0.25">
      <c r="A52" s="19">
        <v>51</v>
      </c>
      <c r="B52" s="19" t="s">
        <v>70</v>
      </c>
      <c r="C52" s="19" t="s">
        <v>17</v>
      </c>
      <c r="D52" s="20">
        <v>44303</v>
      </c>
      <c r="E52" s="19">
        <v>198.21</v>
      </c>
      <c r="F52" s="21">
        <v>117187</v>
      </c>
      <c r="G52" s="22">
        <v>0.21199999999999999</v>
      </c>
      <c r="H52" s="21">
        <v>117126</v>
      </c>
      <c r="I52" s="22">
        <v>0.26500000000000001</v>
      </c>
      <c r="J52" s="21">
        <v>73886</v>
      </c>
      <c r="K52" s="22">
        <v>0.58899999999999997</v>
      </c>
      <c r="L52" s="21">
        <v>553947</v>
      </c>
      <c r="M52" s="19">
        <v>741.98</v>
      </c>
      <c r="N52" s="19">
        <v>2.52</v>
      </c>
      <c r="O52" s="19">
        <v>11.8</v>
      </c>
      <c r="P52" s="19">
        <v>13.5</v>
      </c>
      <c r="Q52" s="19">
        <v>22.65</v>
      </c>
    </row>
    <row r="53" spans="1:17" x14ac:dyDescent="0.25">
      <c r="A53" s="19">
        <v>52</v>
      </c>
      <c r="B53" s="19" t="s">
        <v>71</v>
      </c>
      <c r="C53" s="19" t="s">
        <v>17</v>
      </c>
      <c r="D53" s="20">
        <v>44303</v>
      </c>
      <c r="E53" s="19">
        <v>176.21</v>
      </c>
      <c r="F53" s="21">
        <v>262017</v>
      </c>
      <c r="G53" s="22">
        <v>0.26900000000000002</v>
      </c>
      <c r="H53" s="21">
        <v>261861</v>
      </c>
      <c r="I53" s="22">
        <v>0.31900000000000001</v>
      </c>
      <c r="J53" s="21">
        <v>158079</v>
      </c>
      <c r="K53" s="22">
        <v>0.63800000000000001</v>
      </c>
      <c r="L53" s="21">
        <v>974996</v>
      </c>
      <c r="M53" s="24">
        <v>3561.28</v>
      </c>
      <c r="N53" s="19">
        <v>2.31</v>
      </c>
      <c r="O53" s="19">
        <v>11.5</v>
      </c>
      <c r="P53" s="19">
        <v>13</v>
      </c>
      <c r="Q53" s="19">
        <v>25.4</v>
      </c>
    </row>
    <row r="54" spans="1:17" x14ac:dyDescent="0.25">
      <c r="A54" s="19">
        <v>53</v>
      </c>
      <c r="B54" s="19" t="s">
        <v>72</v>
      </c>
      <c r="C54" s="19" t="s">
        <v>17</v>
      </c>
      <c r="D54" s="20">
        <v>44303</v>
      </c>
      <c r="E54" s="19">
        <v>218.41</v>
      </c>
      <c r="F54" s="21">
        <v>132260</v>
      </c>
      <c r="G54" s="22">
        <v>0.182</v>
      </c>
      <c r="H54" s="21">
        <v>132181</v>
      </c>
      <c r="I54" s="22">
        <v>0.23400000000000001</v>
      </c>
      <c r="J54" s="21">
        <v>84251</v>
      </c>
      <c r="K54" s="22">
        <v>0.56899999999999995</v>
      </c>
      <c r="L54" s="21">
        <v>724777</v>
      </c>
      <c r="M54" s="19">
        <v>403.21</v>
      </c>
      <c r="N54" s="19">
        <v>2.84</v>
      </c>
      <c r="O54" s="19">
        <v>13.2</v>
      </c>
      <c r="P54" s="19">
        <v>16.600000000000001</v>
      </c>
      <c r="Q54" s="19">
        <v>20.440000000000001</v>
      </c>
    </row>
    <row r="55" spans="1:17" x14ac:dyDescent="0.25">
      <c r="A55" s="19">
        <v>54</v>
      </c>
      <c r="B55" s="19" t="s">
        <v>73</v>
      </c>
      <c r="C55" s="19" t="s">
        <v>17</v>
      </c>
      <c r="D55" s="20">
        <v>44303</v>
      </c>
      <c r="E55" s="19">
        <v>142.24</v>
      </c>
      <c r="F55" s="21">
        <v>11177</v>
      </c>
      <c r="G55" s="23">
        <v>0.15</v>
      </c>
      <c r="H55" s="21">
        <v>11175</v>
      </c>
      <c r="I55" s="23">
        <v>0.19</v>
      </c>
      <c r="J55" s="21">
        <v>7873</v>
      </c>
      <c r="K55" s="22">
        <v>0.44500000000000001</v>
      </c>
      <c r="L55" s="21">
        <v>74521</v>
      </c>
      <c r="M55" s="19">
        <v>102.38</v>
      </c>
      <c r="N55" s="19">
        <v>2.52</v>
      </c>
      <c r="O55" s="19">
        <v>16</v>
      </c>
      <c r="P55" s="19">
        <v>24.8</v>
      </c>
      <c r="Q55" s="19">
        <v>23.72</v>
      </c>
    </row>
    <row r="56" spans="1:17" x14ac:dyDescent="0.25">
      <c r="A56" s="19">
        <v>55</v>
      </c>
      <c r="B56" s="19" t="s">
        <v>74</v>
      </c>
      <c r="C56" s="19" t="s">
        <v>19</v>
      </c>
      <c r="D56" s="20">
        <v>44303</v>
      </c>
      <c r="E56" s="19">
        <v>51</v>
      </c>
      <c r="F56" s="21">
        <v>34667</v>
      </c>
      <c r="G56" s="22">
        <v>0.188</v>
      </c>
      <c r="H56" s="21">
        <v>34631</v>
      </c>
      <c r="I56" s="23">
        <v>0.24</v>
      </c>
      <c r="J56" s="21">
        <v>19806</v>
      </c>
      <c r="K56" s="22">
        <v>0.65800000000000003</v>
      </c>
      <c r="L56" s="21">
        <v>184313</v>
      </c>
      <c r="M56" s="19">
        <v>182.06</v>
      </c>
      <c r="N56" s="19">
        <v>2.68</v>
      </c>
      <c r="O56" s="19">
        <v>10</v>
      </c>
      <c r="P56" s="19">
        <v>9.8000000000000007</v>
      </c>
      <c r="Q56" s="19">
        <v>16.34</v>
      </c>
    </row>
    <row r="57" spans="1:17" x14ac:dyDescent="0.25">
      <c r="A57" s="19">
        <v>56</v>
      </c>
      <c r="B57" s="19" t="s">
        <v>75</v>
      </c>
      <c r="C57" s="19" t="s">
        <v>17</v>
      </c>
      <c r="D57" s="20">
        <v>44303</v>
      </c>
      <c r="E57" s="19">
        <v>174.07</v>
      </c>
      <c r="F57" s="21">
        <v>139604</v>
      </c>
      <c r="G57" s="22">
        <v>0.32200000000000001</v>
      </c>
      <c r="H57" s="21">
        <v>139540</v>
      </c>
      <c r="I57" s="22">
        <v>0.374</v>
      </c>
      <c r="J57" s="21">
        <v>109203</v>
      </c>
      <c r="K57" s="22">
        <v>0.67400000000000004</v>
      </c>
      <c r="L57" s="21">
        <v>433742</v>
      </c>
      <c r="M57" s="19">
        <v>780.13</v>
      </c>
      <c r="N57" s="19">
        <v>2.25</v>
      </c>
      <c r="O57" s="19">
        <v>11.4</v>
      </c>
      <c r="P57" s="19">
        <v>9.6999999999999993</v>
      </c>
      <c r="Q57" s="19">
        <v>37.340000000000003</v>
      </c>
    </row>
    <row r="58" spans="1:17" x14ac:dyDescent="0.25">
      <c r="A58" s="19">
        <v>57</v>
      </c>
      <c r="B58" s="19" t="s">
        <v>76</v>
      </c>
      <c r="C58" s="19" t="s">
        <v>17</v>
      </c>
      <c r="D58" s="20">
        <v>44303</v>
      </c>
      <c r="E58" s="19">
        <v>198.8</v>
      </c>
      <c r="F58" s="21">
        <v>94384</v>
      </c>
      <c r="G58" s="23">
        <v>0.2</v>
      </c>
      <c r="H58" s="21">
        <v>94242</v>
      </c>
      <c r="I58" s="22">
        <v>0.252</v>
      </c>
      <c r="J58" s="21">
        <v>47199</v>
      </c>
      <c r="K58" s="22">
        <v>0.626</v>
      </c>
      <c r="L58" s="21">
        <v>471826</v>
      </c>
      <c r="M58" s="24">
        <v>1525.34</v>
      </c>
      <c r="N58" s="19">
        <v>2.7</v>
      </c>
      <c r="O58" s="19">
        <v>10.4</v>
      </c>
      <c r="P58" s="19">
        <v>11.4</v>
      </c>
      <c r="Q58" s="19">
        <v>15.98</v>
      </c>
    </row>
    <row r="59" spans="1:17" x14ac:dyDescent="0.25">
      <c r="A59" s="19">
        <v>58</v>
      </c>
      <c r="B59" s="19" t="s">
        <v>77</v>
      </c>
      <c r="C59" s="19" t="s">
        <v>17</v>
      </c>
      <c r="D59" s="20">
        <v>44303</v>
      </c>
      <c r="E59" s="19">
        <v>113.73</v>
      </c>
      <c r="F59" s="21">
        <v>81700</v>
      </c>
      <c r="G59" s="22">
        <v>0.309</v>
      </c>
      <c r="H59" s="21">
        <v>81573</v>
      </c>
      <c r="I59" s="22">
        <v>0.39300000000000002</v>
      </c>
      <c r="J59" s="21">
        <v>45329</v>
      </c>
      <c r="K59" s="22">
        <v>0.82899999999999996</v>
      </c>
      <c r="L59" s="21">
        <v>264672</v>
      </c>
      <c r="M59" s="19">
        <v>440.71</v>
      </c>
      <c r="N59" s="19">
        <v>2.7</v>
      </c>
      <c r="O59" s="19">
        <v>8.4</v>
      </c>
      <c r="P59" s="19">
        <v>8.4</v>
      </c>
      <c r="Q59" s="19">
        <v>20.65</v>
      </c>
    </row>
    <row r="60" spans="1:17" x14ac:dyDescent="0.25">
      <c r="A60" s="19">
        <v>59</v>
      </c>
      <c r="B60" s="19" t="s">
        <v>78</v>
      </c>
      <c r="C60" s="19" t="s">
        <v>17</v>
      </c>
      <c r="D60" s="20">
        <v>44303</v>
      </c>
      <c r="E60" s="19">
        <v>151.69</v>
      </c>
      <c r="F60" s="21">
        <v>67804</v>
      </c>
      <c r="G60" s="22">
        <v>0.20699999999999999</v>
      </c>
      <c r="H60" s="21">
        <v>67788</v>
      </c>
      <c r="I60" s="22">
        <v>0.25700000000000001</v>
      </c>
      <c r="J60" s="21">
        <v>47745</v>
      </c>
      <c r="K60" s="23">
        <v>0.59</v>
      </c>
      <c r="L60" s="21">
        <v>328297</v>
      </c>
      <c r="M60" s="19">
        <v>574.29999999999995</v>
      </c>
      <c r="N60" s="19">
        <v>2.68</v>
      </c>
      <c r="O60" s="19">
        <v>14</v>
      </c>
      <c r="P60" s="19">
        <v>15</v>
      </c>
      <c r="Q60" s="19">
        <v>24.65</v>
      </c>
    </row>
    <row r="61" spans="1:17" x14ac:dyDescent="0.25">
      <c r="A61" s="19">
        <v>60</v>
      </c>
      <c r="B61" s="19" t="s">
        <v>79</v>
      </c>
      <c r="C61" s="19" t="s">
        <v>19</v>
      </c>
      <c r="D61" s="20">
        <v>44303</v>
      </c>
      <c r="E61" s="19">
        <v>94.4</v>
      </c>
      <c r="F61" s="21">
        <v>69438</v>
      </c>
      <c r="G61" s="22">
        <v>0.52400000000000002</v>
      </c>
      <c r="H61" s="21">
        <v>69429</v>
      </c>
      <c r="I61" s="22">
        <v>0.56399999999999995</v>
      </c>
      <c r="J61" s="21">
        <v>61198</v>
      </c>
      <c r="K61" s="22">
        <v>0.79400000000000004</v>
      </c>
      <c r="L61" s="21">
        <v>132420</v>
      </c>
      <c r="M61" s="19">
        <v>237.68</v>
      </c>
      <c r="N61" s="19">
        <v>2.04</v>
      </c>
      <c r="O61" s="19">
        <v>6.2</v>
      </c>
      <c r="P61" s="19">
        <v>8.8000000000000007</v>
      </c>
      <c r="Q61" s="19">
        <v>58.17</v>
      </c>
    </row>
    <row r="62" spans="1:17" x14ac:dyDescent="0.25">
      <c r="A62" s="19">
        <v>61</v>
      </c>
      <c r="B62" s="19" t="s">
        <v>80</v>
      </c>
      <c r="C62" s="19" t="s">
        <v>19</v>
      </c>
      <c r="D62" s="20">
        <v>44303</v>
      </c>
      <c r="E62" s="19">
        <v>58.54</v>
      </c>
      <c r="F62" s="21">
        <v>7190</v>
      </c>
      <c r="G62" s="22">
        <v>0.16200000000000001</v>
      </c>
      <c r="H62" s="21">
        <v>7188</v>
      </c>
      <c r="I62" s="22">
        <v>0.20499999999999999</v>
      </c>
      <c r="J62" s="21">
        <v>5175</v>
      </c>
      <c r="K62" s="22">
        <v>0.53600000000000003</v>
      </c>
      <c r="L62" s="21">
        <v>44417</v>
      </c>
      <c r="M62" s="19">
        <v>64.510000000000005</v>
      </c>
      <c r="N62" s="19">
        <v>2.81</v>
      </c>
      <c r="O62" s="19">
        <v>13.9</v>
      </c>
      <c r="P62" s="19">
        <v>17.8</v>
      </c>
      <c r="Q62" s="19">
        <v>21.73</v>
      </c>
    </row>
    <row r="63" spans="1:17" x14ac:dyDescent="0.25">
      <c r="A63" s="19">
        <v>62</v>
      </c>
      <c r="B63" s="19" t="s">
        <v>81</v>
      </c>
      <c r="C63" s="19" t="s">
        <v>25</v>
      </c>
      <c r="D63" s="20">
        <v>44303</v>
      </c>
      <c r="E63" s="19" t="s">
        <v>26</v>
      </c>
      <c r="F63" s="21">
        <v>3284</v>
      </c>
      <c r="G63" s="22">
        <v>0.152</v>
      </c>
      <c r="H63" s="21">
        <v>3283</v>
      </c>
      <c r="I63" s="23">
        <v>0.19</v>
      </c>
      <c r="J63" s="21">
        <v>2283</v>
      </c>
      <c r="K63" s="22">
        <v>0.505</v>
      </c>
      <c r="L63" s="21">
        <v>21569</v>
      </c>
      <c r="M63" s="19">
        <v>20.67</v>
      </c>
      <c r="N63" s="19">
        <v>2.4700000000000002</v>
      </c>
      <c r="O63" s="19">
        <v>10.9</v>
      </c>
      <c r="P63" s="19">
        <v>19.8</v>
      </c>
      <c r="Q63" s="19">
        <v>20.98</v>
      </c>
    </row>
    <row r="64" spans="1:17" x14ac:dyDescent="0.25">
      <c r="A64" s="19">
        <v>63</v>
      </c>
      <c r="B64" s="19" t="s">
        <v>82</v>
      </c>
      <c r="C64" s="19" t="s">
        <v>19</v>
      </c>
      <c r="D64" s="20">
        <v>44303</v>
      </c>
      <c r="E64" s="19">
        <v>78.760000000000005</v>
      </c>
      <c r="F64" s="21">
        <v>1563</v>
      </c>
      <c r="G64" s="22">
        <v>0.10299999999999999</v>
      </c>
      <c r="H64" s="21">
        <v>1563</v>
      </c>
      <c r="I64" s="22">
        <v>0.128</v>
      </c>
      <c r="J64" s="21">
        <v>1091</v>
      </c>
      <c r="K64" s="22">
        <v>0.47099999999999997</v>
      </c>
      <c r="L64" s="21">
        <v>15237</v>
      </c>
      <c r="M64" s="19">
        <v>62.56</v>
      </c>
      <c r="N64" s="19">
        <v>2.5</v>
      </c>
      <c r="O64" s="19">
        <v>12.4</v>
      </c>
      <c r="P64" s="19">
        <v>22</v>
      </c>
      <c r="Q64" s="19">
        <v>15.21</v>
      </c>
    </row>
    <row r="65" spans="1:17" x14ac:dyDescent="0.25">
      <c r="A65" s="19">
        <v>64</v>
      </c>
      <c r="B65" s="19" t="s">
        <v>83</v>
      </c>
      <c r="C65" s="19" t="s">
        <v>17</v>
      </c>
      <c r="D65" s="20">
        <v>44303</v>
      </c>
      <c r="E65" s="19">
        <v>217.43</v>
      </c>
      <c r="F65" s="21">
        <v>127607</v>
      </c>
      <c r="G65" s="22">
        <v>0.23100000000000001</v>
      </c>
      <c r="H65" s="21">
        <v>127566</v>
      </c>
      <c r="I65" s="22">
        <v>0.27900000000000003</v>
      </c>
      <c r="J65" s="21">
        <v>87932</v>
      </c>
      <c r="K65" s="22">
        <v>0.63800000000000001</v>
      </c>
      <c r="L65" s="21">
        <v>553284</v>
      </c>
      <c r="M65" s="19">
        <v>502.42</v>
      </c>
      <c r="N65" s="19">
        <v>2.4300000000000002</v>
      </c>
      <c r="O65" s="19">
        <v>12.5</v>
      </c>
      <c r="P65" s="19">
        <v>15.2</v>
      </c>
      <c r="Q65" s="19">
        <v>24.91</v>
      </c>
    </row>
    <row r="66" spans="1:17" x14ac:dyDescent="0.25">
      <c r="A66" s="19">
        <v>65</v>
      </c>
      <c r="B66" s="19" t="s">
        <v>84</v>
      </c>
      <c r="C66" s="19" t="s">
        <v>17</v>
      </c>
      <c r="D66" s="20">
        <v>44303</v>
      </c>
      <c r="E66" s="19">
        <v>124.49</v>
      </c>
      <c r="F66" s="21">
        <v>6355</v>
      </c>
      <c r="G66" s="22">
        <v>0.188</v>
      </c>
      <c r="H66" s="21">
        <v>6351</v>
      </c>
      <c r="I66" s="22">
        <v>0.23699999999999999</v>
      </c>
      <c r="J66" s="21">
        <v>3865</v>
      </c>
      <c r="K66" s="23">
        <v>0.72</v>
      </c>
      <c r="L66" s="21">
        <v>33739</v>
      </c>
      <c r="M66" s="19">
        <v>55.64</v>
      </c>
      <c r="N66" s="19">
        <v>2.56</v>
      </c>
      <c r="O66" s="19">
        <v>9</v>
      </c>
      <c r="P66" s="19">
        <v>11.5</v>
      </c>
      <c r="Q66" s="19">
        <v>15.9</v>
      </c>
    </row>
    <row r="67" spans="1:17" x14ac:dyDescent="0.25">
      <c r="A67" s="19">
        <v>66</v>
      </c>
      <c r="B67" s="19" t="s">
        <v>85</v>
      </c>
      <c r="C67" s="19" t="s">
        <v>17</v>
      </c>
      <c r="D67" s="20">
        <v>44303</v>
      </c>
      <c r="E67" s="19">
        <v>203.86</v>
      </c>
      <c r="F67" s="21">
        <v>13893</v>
      </c>
      <c r="G67" s="22">
        <v>0.188</v>
      </c>
      <c r="H67" s="21">
        <v>13889</v>
      </c>
      <c r="I67" s="22">
        <v>0.23499999999999999</v>
      </c>
      <c r="J67" s="21">
        <v>8858</v>
      </c>
      <c r="K67" s="22">
        <v>0.59099999999999997</v>
      </c>
      <c r="L67" s="21">
        <v>74071</v>
      </c>
      <c r="M67" s="19">
        <v>71.38</v>
      </c>
      <c r="N67" s="19">
        <v>2.42</v>
      </c>
      <c r="O67" s="19">
        <v>13.5</v>
      </c>
      <c r="P67" s="19">
        <v>14.7</v>
      </c>
      <c r="Q67" s="19">
        <v>20.22</v>
      </c>
    </row>
    <row r="68" spans="1:17" x14ac:dyDescent="0.25">
      <c r="A68" s="19">
        <v>67</v>
      </c>
      <c r="B68" s="19" t="s">
        <v>86</v>
      </c>
      <c r="C68" s="19" t="s">
        <v>19</v>
      </c>
      <c r="D68" s="20">
        <v>44303</v>
      </c>
      <c r="E68" s="19">
        <v>54.96</v>
      </c>
      <c r="F68" s="21">
        <v>3127</v>
      </c>
      <c r="G68" s="22">
        <v>0.123</v>
      </c>
      <c r="H68" s="21">
        <v>3124</v>
      </c>
      <c r="I68" s="22">
        <v>0.153</v>
      </c>
      <c r="J68" s="21">
        <v>2002</v>
      </c>
      <c r="K68" s="22">
        <v>0.45700000000000002</v>
      </c>
      <c r="L68" s="21">
        <v>25473</v>
      </c>
      <c r="M68" s="19">
        <v>43.57</v>
      </c>
      <c r="N68" s="19">
        <v>2.57</v>
      </c>
      <c r="O68" s="19">
        <v>12.8</v>
      </c>
      <c r="P68" s="19">
        <v>22.4</v>
      </c>
      <c r="Q68" s="19">
        <v>17.2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Q68"/>
  <sheetViews>
    <sheetView workbookViewId="0">
      <selection sqref="A1:Q68"/>
    </sheetView>
  </sheetViews>
  <sheetFormatPr defaultColWidth="9" defaultRowHeight="15.75" x14ac:dyDescent="0.25"/>
  <cols>
    <col min="1" max="1" width="5.375" style="18" customWidth="1"/>
    <col min="2" max="2" width="9.5" style="18" bestFit="1" customWidth="1"/>
    <col min="3" max="3" width="15.875" style="18" bestFit="1" customWidth="1"/>
    <col min="4" max="4" width="10.125" style="18" bestFit="1" customWidth="1"/>
    <col min="5" max="5" width="10.25" style="18" bestFit="1" customWidth="1"/>
    <col min="6" max="6" width="8.125" style="18" bestFit="1" customWidth="1"/>
    <col min="7" max="7" width="13.875" style="18" bestFit="1" customWidth="1"/>
    <col min="8" max="8" width="9.875" style="18" bestFit="1" customWidth="1"/>
    <col min="9" max="9" width="15.625" style="18" bestFit="1" customWidth="1"/>
    <col min="10" max="10" width="9.875" style="18" bestFit="1" customWidth="1"/>
    <col min="11" max="11" width="15.625" style="18" bestFit="1" customWidth="1"/>
    <col min="12" max="12" width="12" style="18" bestFit="1" customWidth="1"/>
    <col min="13" max="13" width="13.75" style="18" bestFit="1" customWidth="1"/>
    <col min="14" max="14" width="9.5" style="18" bestFit="1" customWidth="1"/>
    <col min="15" max="15" width="13.375" style="18" bestFit="1" customWidth="1"/>
    <col min="16" max="16" width="11.625" style="18" customWidth="1"/>
    <col min="17" max="17" width="11.375" style="18" customWidth="1"/>
    <col min="18" max="18" width="4.625" style="18" bestFit="1" customWidth="1"/>
    <col min="19" max="16384" width="9" style="18"/>
  </cols>
  <sheetData>
    <row r="1" spans="1:17" x14ac:dyDescent="0.25">
      <c r="B1" s="19" t="s">
        <v>0</v>
      </c>
      <c r="C1" s="19" t="s">
        <v>1</v>
      </c>
      <c r="D1" s="19" t="s">
        <v>2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19" t="s">
        <v>9</v>
      </c>
      <c r="L1" s="19" t="s">
        <v>10</v>
      </c>
      <c r="M1" s="19" t="s">
        <v>11</v>
      </c>
      <c r="N1" s="19" t="s">
        <v>12</v>
      </c>
      <c r="O1" s="19" t="s">
        <v>13</v>
      </c>
      <c r="P1" s="19" t="s">
        <v>14</v>
      </c>
      <c r="Q1" s="19" t="s">
        <v>15</v>
      </c>
    </row>
    <row r="2" spans="1:17" x14ac:dyDescent="0.25">
      <c r="A2" s="19">
        <v>1</v>
      </c>
      <c r="B2" s="19" t="s">
        <v>16</v>
      </c>
      <c r="C2" s="19" t="s">
        <v>17</v>
      </c>
      <c r="D2" s="20">
        <v>44304</v>
      </c>
      <c r="E2" s="19">
        <v>106.67</v>
      </c>
      <c r="F2" s="21">
        <f>ROUNDUP(('4-19'!F2-'4-17'!F2)/2+'4-17'!F2,0)</f>
        <v>71698</v>
      </c>
      <c r="G2" s="22"/>
      <c r="H2" s="21">
        <f>ROUNDUP(('4-19'!H2-'4-17'!H2)/2+'4-17'!H2,0)</f>
        <v>71638</v>
      </c>
      <c r="I2" s="22"/>
      <c r="J2" s="21">
        <f>ROUNDUP(('4-19'!J2-'4-17'!J2)/2+'4-17'!J2,0)</f>
        <v>30828</v>
      </c>
      <c r="K2" s="23"/>
      <c r="L2" s="21">
        <v>269043</v>
      </c>
      <c r="M2" s="19">
        <v>307.29000000000002</v>
      </c>
      <c r="N2" s="19">
        <v>2.54</v>
      </c>
      <c r="O2" s="19">
        <v>9.1999999999999993</v>
      </c>
      <c r="P2" s="19">
        <v>21.8</v>
      </c>
      <c r="Q2" s="19">
        <v>14.6</v>
      </c>
    </row>
    <row r="3" spans="1:17" x14ac:dyDescent="0.25">
      <c r="A3" s="19">
        <v>2</v>
      </c>
      <c r="B3" s="19" t="s">
        <v>18</v>
      </c>
      <c r="C3" s="19" t="s">
        <v>19</v>
      </c>
      <c r="D3" s="20">
        <v>44304</v>
      </c>
      <c r="E3" s="19">
        <v>82.16</v>
      </c>
      <c r="F3" s="21">
        <f>ROUNDUP(('4-19'!F3-'4-17'!F3)/2+'4-17'!F3,0)</f>
        <v>3486</v>
      </c>
      <c r="G3" s="22"/>
      <c r="H3" s="21">
        <f>ROUNDUP(('4-19'!H3-'4-17'!H3)/2+'4-17'!H3,0)</f>
        <v>3486</v>
      </c>
      <c r="I3" s="22"/>
      <c r="J3" s="21">
        <f>ROUNDUP(('4-19'!J3-'4-17'!J3)/2+'4-17'!J3,0)</f>
        <v>2190</v>
      </c>
      <c r="K3" s="22"/>
      <c r="L3" s="21">
        <v>29210</v>
      </c>
      <c r="M3" s="19">
        <v>49.91</v>
      </c>
      <c r="N3" s="19">
        <v>2.92</v>
      </c>
      <c r="O3" s="19">
        <v>12.5</v>
      </c>
      <c r="P3" s="19">
        <v>14.6</v>
      </c>
      <c r="Q3" s="19">
        <v>14.09</v>
      </c>
    </row>
    <row r="4" spans="1:17" x14ac:dyDescent="0.25">
      <c r="A4" s="19">
        <v>3</v>
      </c>
      <c r="B4" s="19" t="s">
        <v>20</v>
      </c>
      <c r="C4" s="19" t="s">
        <v>19</v>
      </c>
      <c r="D4" s="20">
        <v>44304</v>
      </c>
      <c r="E4" s="19">
        <v>99.02</v>
      </c>
      <c r="F4" s="21">
        <f>ROUNDUP(('4-19'!F4-'4-17'!F4)/2+'4-17'!F4,0)</f>
        <v>36030</v>
      </c>
      <c r="G4" s="22"/>
      <c r="H4" s="21">
        <f>ROUNDUP(('4-19'!H4-'4-17'!H4)/2+'4-17'!H4,0)</f>
        <v>36009</v>
      </c>
      <c r="I4" s="22"/>
      <c r="J4" s="21">
        <f>ROUNDUP(('4-19'!J4-'4-17'!J4)/2+'4-17'!J4,0)</f>
        <v>18975</v>
      </c>
      <c r="K4" s="23"/>
      <c r="L4" s="21">
        <v>174705</v>
      </c>
      <c r="M4" s="19">
        <v>230.3</v>
      </c>
      <c r="N4" s="19">
        <v>2.57</v>
      </c>
      <c r="O4" s="19">
        <v>14.2</v>
      </c>
      <c r="P4" s="19">
        <v>14.7</v>
      </c>
      <c r="Q4" s="19">
        <v>18.62</v>
      </c>
    </row>
    <row r="5" spans="1:17" x14ac:dyDescent="0.25">
      <c r="A5" s="19">
        <v>4</v>
      </c>
      <c r="B5" s="19" t="s">
        <v>21</v>
      </c>
      <c r="C5" s="19" t="s">
        <v>19</v>
      </c>
      <c r="D5" s="20">
        <v>44304</v>
      </c>
      <c r="E5" s="19">
        <v>53.19</v>
      </c>
      <c r="F5" s="21">
        <f>ROUNDUP(('4-19'!F5-'4-17'!F5)/2+'4-17'!F5,0)</f>
        <v>3810</v>
      </c>
      <c r="G5" s="22"/>
      <c r="H5" s="21">
        <f>ROUNDUP(('4-19'!H5-'4-17'!H5)/2+'4-17'!H5,0)</f>
        <v>3810</v>
      </c>
      <c r="I5" s="22"/>
      <c r="J5" s="21">
        <f>ROUNDUP(('4-19'!J5-'4-17'!J5)/2+'4-17'!J5,0)</f>
        <v>2524</v>
      </c>
      <c r="K5" s="22"/>
      <c r="L5" s="21">
        <v>28201</v>
      </c>
      <c r="M5" s="19">
        <v>95.93</v>
      </c>
      <c r="N5" s="19">
        <v>2.6</v>
      </c>
      <c r="O5" s="19">
        <v>12.4</v>
      </c>
      <c r="P5" s="19">
        <v>20.3</v>
      </c>
      <c r="Q5" s="19">
        <v>17.96</v>
      </c>
    </row>
    <row r="6" spans="1:17" x14ac:dyDescent="0.25">
      <c r="A6" s="19">
        <v>5</v>
      </c>
      <c r="B6" s="19" t="s">
        <v>22</v>
      </c>
      <c r="C6" s="19" t="s">
        <v>17</v>
      </c>
      <c r="D6" s="20">
        <v>44304</v>
      </c>
      <c r="E6" s="19">
        <v>146.03</v>
      </c>
      <c r="F6" s="21">
        <f>ROUNDUP(('4-19'!F6-'4-17'!F6)/2+'4-17'!F6,0)</f>
        <v>141971</v>
      </c>
      <c r="G6" s="22"/>
      <c r="H6" s="21">
        <f>ROUNDUP(('4-19'!H6-'4-17'!H6)/2+'4-17'!H6,0)</f>
        <v>141900</v>
      </c>
      <c r="I6" s="22"/>
      <c r="J6" s="21">
        <f>ROUNDUP(('4-19'!J6-'4-17'!J6)/2+'4-17'!J6,0)</f>
        <v>89952</v>
      </c>
      <c r="K6" s="22"/>
      <c r="L6" s="21">
        <v>601942</v>
      </c>
      <c r="M6" s="19">
        <v>593.05999999999995</v>
      </c>
      <c r="N6" s="19">
        <v>2.4900000000000002</v>
      </c>
      <c r="O6" s="19">
        <v>10.8</v>
      </c>
      <c r="P6" s="19">
        <v>12.7</v>
      </c>
      <c r="Q6" s="19">
        <v>24.21</v>
      </c>
    </row>
    <row r="7" spans="1:17" x14ac:dyDescent="0.25">
      <c r="A7" s="19">
        <v>6</v>
      </c>
      <c r="B7" s="19" t="s">
        <v>23</v>
      </c>
      <c r="C7" s="19" t="s">
        <v>17</v>
      </c>
      <c r="D7" s="20">
        <v>44304</v>
      </c>
      <c r="E7" s="19">
        <v>272.18</v>
      </c>
      <c r="F7" s="21">
        <f>ROUNDUP(('4-19'!F7-'4-17'!F7)/2+'4-17'!F7,0)</f>
        <v>451466</v>
      </c>
      <c r="G7" s="22"/>
      <c r="H7" s="21">
        <f>ROUNDUP(('4-19'!H7-'4-17'!H7)/2+'4-17'!H7,0)</f>
        <v>450614</v>
      </c>
      <c r="I7" s="22"/>
      <c r="J7" s="21">
        <f>ROUNDUP(('4-19'!J7-'4-17'!J7)/2+'4-17'!J7,0)</f>
        <v>217038</v>
      </c>
      <c r="K7" s="22"/>
      <c r="L7" s="21">
        <v>1952778</v>
      </c>
      <c r="M7" s="24">
        <v>1623.5</v>
      </c>
      <c r="N7" s="19">
        <v>2.77</v>
      </c>
      <c r="O7" s="19">
        <v>14.6</v>
      </c>
      <c r="P7" s="19">
        <v>13.5</v>
      </c>
      <c r="Q7" s="19">
        <v>17.13</v>
      </c>
    </row>
    <row r="8" spans="1:17" x14ac:dyDescent="0.25">
      <c r="A8" s="19">
        <v>7</v>
      </c>
      <c r="B8" s="19" t="s">
        <v>24</v>
      </c>
      <c r="C8" s="19" t="s">
        <v>25</v>
      </c>
      <c r="D8" s="20">
        <v>44304</v>
      </c>
      <c r="E8" s="19" t="s">
        <v>26</v>
      </c>
      <c r="F8" s="21">
        <f>ROUNDUP(('4-19'!F8-'4-17'!F8)/2+'4-17'!F8,0)</f>
        <v>2096</v>
      </c>
      <c r="G8" s="22"/>
      <c r="H8" s="21">
        <f>ROUNDUP(('4-19'!H8-'4-17'!H8)/2+'4-17'!H8,0)</f>
        <v>2096</v>
      </c>
      <c r="I8" s="22"/>
      <c r="J8" s="21">
        <f>ROUNDUP(('4-19'!J8-'4-17'!J8)/2+'4-17'!J8,0)</f>
        <v>1395</v>
      </c>
      <c r="K8" s="22"/>
      <c r="L8" s="21">
        <v>14105</v>
      </c>
      <c r="M8" s="19">
        <v>24.86</v>
      </c>
      <c r="N8" s="19">
        <v>2.73</v>
      </c>
      <c r="O8" s="19">
        <v>18.3</v>
      </c>
      <c r="P8" s="19">
        <v>12.2</v>
      </c>
      <c r="Q8" s="19">
        <v>18.93</v>
      </c>
    </row>
    <row r="9" spans="1:17" x14ac:dyDescent="0.25">
      <c r="A9" s="19">
        <v>8</v>
      </c>
      <c r="B9" s="19" t="s">
        <v>27</v>
      </c>
      <c r="C9" s="19" t="s">
        <v>17</v>
      </c>
      <c r="D9" s="20">
        <v>44304</v>
      </c>
      <c r="E9" s="19">
        <v>155.63</v>
      </c>
      <c r="F9" s="21">
        <f>ROUNDUP(('4-19'!F9-'4-17'!F9)/2+'4-17'!F9,0)</f>
        <v>63016</v>
      </c>
      <c r="G9" s="22"/>
      <c r="H9" s="21">
        <f>ROUNDUP(('4-19'!H9-'4-17'!H9)/2+'4-17'!H9,0)</f>
        <v>62990</v>
      </c>
      <c r="I9" s="22"/>
      <c r="J9" s="21">
        <f>ROUNDUP(('4-19'!J9-'4-17'!J9)/2+'4-17'!J9,0)</f>
        <v>50471</v>
      </c>
      <c r="K9" s="23"/>
      <c r="L9" s="21">
        <v>188910</v>
      </c>
      <c r="M9" s="19">
        <v>277.36</v>
      </c>
      <c r="N9" s="19">
        <v>2.2799999999999998</v>
      </c>
      <c r="O9" s="19">
        <v>11.3</v>
      </c>
      <c r="P9" s="19">
        <v>11.1</v>
      </c>
      <c r="Q9" s="19">
        <v>40.799999999999997</v>
      </c>
    </row>
    <row r="10" spans="1:17" x14ac:dyDescent="0.25">
      <c r="A10" s="19">
        <v>9</v>
      </c>
      <c r="B10" s="19" t="s">
        <v>28</v>
      </c>
      <c r="C10" s="19" t="s">
        <v>19</v>
      </c>
      <c r="D10" s="20">
        <v>44304</v>
      </c>
      <c r="E10" s="19">
        <v>93.55</v>
      </c>
      <c r="F10" s="21">
        <f>ROUNDUP(('4-19'!F10-'4-17'!F10)/2+'4-17'!F10,0)</f>
        <v>40173</v>
      </c>
      <c r="G10" s="22"/>
      <c r="H10" s="21">
        <f>ROUNDUP(('4-19'!H10-'4-17'!H10)/2+'4-17'!H10,0)</f>
        <v>40167</v>
      </c>
      <c r="I10" s="23"/>
      <c r="J10" s="21">
        <f>ROUNDUP(('4-19'!J10-'4-17'!J10)/2+'4-17'!J10,0)</f>
        <v>32688</v>
      </c>
      <c r="K10" s="23"/>
      <c r="L10" s="21">
        <v>149657</v>
      </c>
      <c r="M10" s="19">
        <v>257.18</v>
      </c>
      <c r="N10" s="19">
        <v>2.2400000000000002</v>
      </c>
      <c r="O10" s="19">
        <v>10.4</v>
      </c>
      <c r="P10" s="19">
        <v>16.7</v>
      </c>
      <c r="Q10" s="19">
        <v>36.71</v>
      </c>
    </row>
    <row r="11" spans="1:17" x14ac:dyDescent="0.25">
      <c r="A11" s="19">
        <v>10</v>
      </c>
      <c r="B11" s="19" t="s">
        <v>29</v>
      </c>
      <c r="C11" s="19" t="s">
        <v>17</v>
      </c>
      <c r="D11" s="20">
        <v>44304</v>
      </c>
      <c r="E11" s="19">
        <v>103.08</v>
      </c>
      <c r="F11" s="21">
        <f>ROUNDUP(('4-19'!F11-'4-17'!F11)/2+'4-17'!F11,0)</f>
        <v>38335</v>
      </c>
      <c r="G11" s="22"/>
      <c r="H11" s="21">
        <f>ROUNDUP(('4-19'!H11-'4-17'!H11)/2+'4-17'!H11,0)</f>
        <v>38303</v>
      </c>
      <c r="I11" s="22"/>
      <c r="J11" s="21">
        <f>ROUNDUP(('4-19'!J11-'4-17'!J11)/2+'4-17'!J11,0)</f>
        <v>20483</v>
      </c>
      <c r="K11" s="22"/>
      <c r="L11" s="21">
        <v>219252</v>
      </c>
      <c r="M11" s="19">
        <v>362.63</v>
      </c>
      <c r="N11" s="19">
        <v>2.81</v>
      </c>
      <c r="O11" s="19">
        <v>10.4</v>
      </c>
      <c r="P11" s="19">
        <v>10.6</v>
      </c>
      <c r="Q11" s="19">
        <v>16.350000000000001</v>
      </c>
    </row>
    <row r="12" spans="1:17" x14ac:dyDescent="0.25">
      <c r="A12" s="19">
        <v>11</v>
      </c>
      <c r="B12" s="19" t="s">
        <v>30</v>
      </c>
      <c r="C12" s="19" t="s">
        <v>17</v>
      </c>
      <c r="D12" s="20">
        <v>44304</v>
      </c>
      <c r="E12" s="19">
        <v>180.83</v>
      </c>
      <c r="F12" s="21">
        <f>ROUNDUP(('4-19'!F12-'4-17'!F12)/2+'4-17'!F12,0)</f>
        <v>116949</v>
      </c>
      <c r="G12" s="22"/>
      <c r="H12" s="21">
        <f>ROUNDUP(('4-19'!H12-'4-17'!H12)/2+'4-17'!H12,0)</f>
        <v>116915</v>
      </c>
      <c r="I12" s="22"/>
      <c r="J12" s="21">
        <f>ROUNDUP(('4-19'!J12-'4-17'!J12)/2+'4-17'!J12,0)</f>
        <v>90018</v>
      </c>
      <c r="K12" s="22"/>
      <c r="L12" s="21">
        <v>384902</v>
      </c>
      <c r="M12" s="19">
        <v>192.75</v>
      </c>
      <c r="N12" s="19">
        <v>2.5499999999999998</v>
      </c>
      <c r="O12" s="19">
        <v>16.5</v>
      </c>
      <c r="P12" s="19">
        <v>12.3</v>
      </c>
      <c r="Q12" s="19">
        <v>32.92</v>
      </c>
    </row>
    <row r="13" spans="1:17" x14ac:dyDescent="0.25">
      <c r="A13" s="19">
        <v>12</v>
      </c>
      <c r="B13" s="19" t="s">
        <v>31</v>
      </c>
      <c r="C13" s="19" t="s">
        <v>19</v>
      </c>
      <c r="D13" s="20">
        <v>44304</v>
      </c>
      <c r="E13" s="19">
        <v>80.91</v>
      </c>
      <c r="F13" s="21">
        <f>ROUNDUP(('4-19'!F13-'4-17'!F13)/2+'4-17'!F13,0)</f>
        <v>12214</v>
      </c>
      <c r="G13" s="22"/>
      <c r="H13" s="21">
        <f>ROUNDUP(('4-19'!H13-'4-17'!H13)/2+'4-17'!H13,0)</f>
        <v>12211</v>
      </c>
      <c r="I13" s="22"/>
      <c r="J13" s="21">
        <f>ROUNDUP(('4-19'!J13-'4-17'!J13)/2+'4-17'!J13,0)</f>
        <v>7674</v>
      </c>
      <c r="K13" s="22"/>
      <c r="L13" s="21">
        <v>71686</v>
      </c>
      <c r="M13" s="19">
        <v>89.88</v>
      </c>
      <c r="N13" s="19">
        <v>2.57</v>
      </c>
      <c r="O13" s="19">
        <v>12.4</v>
      </c>
      <c r="P13" s="19">
        <v>17.399999999999999</v>
      </c>
      <c r="Q13" s="19">
        <v>19.260000000000002</v>
      </c>
    </row>
    <row r="14" spans="1:17" x14ac:dyDescent="0.25">
      <c r="A14" s="19">
        <v>13</v>
      </c>
      <c r="B14" s="19" t="s">
        <v>32</v>
      </c>
      <c r="C14" s="19" t="s">
        <v>17</v>
      </c>
      <c r="D14" s="20">
        <v>44304</v>
      </c>
      <c r="E14" s="19">
        <v>184.21</v>
      </c>
      <c r="F14" s="21">
        <f>ROUNDUP(('4-19'!F14-'4-17'!F14)/2+'4-17'!F14,0)</f>
        <v>5962</v>
      </c>
      <c r="G14" s="22"/>
      <c r="H14" s="21">
        <f>ROUNDUP(('4-19'!H14-'4-17'!H14)/2+'4-17'!H14,0)</f>
        <v>5962</v>
      </c>
      <c r="I14" s="22"/>
      <c r="J14" s="21">
        <f>ROUNDUP(('4-19'!J14-'4-17'!J14)/2+'4-17'!J14,0)</f>
        <v>4484</v>
      </c>
      <c r="K14" s="22"/>
      <c r="L14" s="21">
        <v>38001</v>
      </c>
      <c r="M14" s="19">
        <v>59.68</v>
      </c>
      <c r="N14" s="19">
        <v>2.74</v>
      </c>
      <c r="O14" s="19">
        <v>18.399999999999999</v>
      </c>
      <c r="P14" s="19">
        <v>28.5</v>
      </c>
      <c r="Q14" s="19">
        <v>22.52</v>
      </c>
    </row>
    <row r="15" spans="1:17" x14ac:dyDescent="0.25">
      <c r="A15" s="19">
        <v>14</v>
      </c>
      <c r="B15" s="19" t="s">
        <v>33</v>
      </c>
      <c r="C15" s="19" t="s">
        <v>17</v>
      </c>
      <c r="D15" s="20">
        <v>44304</v>
      </c>
      <c r="E15" s="19">
        <v>101.03</v>
      </c>
      <c r="F15" s="21">
        <f>ROUNDUP(('4-19'!F15-'4-17'!F15)/2+'4-17'!F15,0)</f>
        <v>2413</v>
      </c>
      <c r="G15" s="22"/>
      <c r="H15" s="21">
        <f>ROUNDUP(('4-19'!H15-'4-17'!H15)/2+'4-17'!H15,0)</f>
        <v>2413</v>
      </c>
      <c r="I15" s="22"/>
      <c r="J15" s="21">
        <f>ROUNDUP(('4-19'!J15-'4-17'!J15)/2+'4-17'!J15,0)</f>
        <v>1848</v>
      </c>
      <c r="K15" s="22"/>
      <c r="L15" s="21">
        <v>16826</v>
      </c>
      <c r="M15" s="19">
        <v>23.86</v>
      </c>
      <c r="N15" s="19">
        <v>2.2799999999999998</v>
      </c>
      <c r="O15" s="19">
        <v>17.2</v>
      </c>
      <c r="P15" s="19">
        <v>23.1</v>
      </c>
      <c r="Q15" s="19">
        <v>23.68</v>
      </c>
    </row>
    <row r="16" spans="1:17" x14ac:dyDescent="0.25">
      <c r="A16" s="19">
        <v>15</v>
      </c>
      <c r="B16" s="19" t="s">
        <v>34</v>
      </c>
      <c r="C16" s="19" t="s">
        <v>17</v>
      </c>
      <c r="D16" s="20">
        <v>44304</v>
      </c>
      <c r="E16" s="19">
        <v>123.83</v>
      </c>
      <c r="F16" s="21">
        <f>ROUNDUP(('4-19'!F16-'4-17'!F16)/2+'4-17'!F16,0)</f>
        <v>220665</v>
      </c>
      <c r="G16" s="22"/>
      <c r="H16" s="21">
        <f>ROUNDUP(('4-19'!H16-'4-17'!H16)/2+'4-17'!H16,0)</f>
        <v>220446</v>
      </c>
      <c r="I16" s="22"/>
      <c r="J16" s="21">
        <f>ROUNDUP(('4-19'!J16-'4-17'!J16)/2+'4-17'!J16,0)</f>
        <v>96588</v>
      </c>
      <c r="K16" s="22"/>
      <c r="L16" s="21">
        <v>957755</v>
      </c>
      <c r="M16" s="24">
        <v>1255.8599999999999</v>
      </c>
      <c r="N16" s="19">
        <v>2.5499999999999998</v>
      </c>
      <c r="O16" s="19">
        <v>12</v>
      </c>
      <c r="P16" s="19">
        <v>15.5</v>
      </c>
      <c r="Q16" s="19">
        <v>14.47</v>
      </c>
    </row>
    <row r="17" spans="1:17" x14ac:dyDescent="0.25">
      <c r="A17" s="19">
        <v>16</v>
      </c>
      <c r="B17" s="19" t="s">
        <v>35</v>
      </c>
      <c r="C17" s="19" t="s">
        <v>19</v>
      </c>
      <c r="D17" s="20">
        <v>44304</v>
      </c>
      <c r="E17" s="19">
        <v>92.36</v>
      </c>
      <c r="F17" s="21">
        <f>ROUNDUP(('4-19'!F17-'4-17'!F17)/2+'4-17'!F17,0)</f>
        <v>68363</v>
      </c>
      <c r="G17" s="22"/>
      <c r="H17" s="21">
        <f>ROUNDUP(('4-19'!H17-'4-17'!H17)/2+'4-17'!H17,0)</f>
        <v>68330</v>
      </c>
      <c r="I17" s="22"/>
      <c r="J17" s="21">
        <f>ROUNDUP(('4-19'!J17-'4-17'!J17)/2+'4-17'!J17,0)</f>
        <v>35404</v>
      </c>
      <c r="K17" s="22"/>
      <c r="L17" s="21">
        <v>318316</v>
      </c>
      <c r="M17" s="19">
        <v>484.52</v>
      </c>
      <c r="N17" s="19">
        <v>2.4700000000000002</v>
      </c>
      <c r="O17" s="19">
        <v>10.199999999999999</v>
      </c>
      <c r="P17" s="19">
        <v>13.9</v>
      </c>
      <c r="Q17" s="19">
        <v>17.14</v>
      </c>
    </row>
    <row r="18" spans="1:17" x14ac:dyDescent="0.25">
      <c r="A18" s="19">
        <v>17</v>
      </c>
      <c r="B18" s="19" t="s">
        <v>36</v>
      </c>
      <c r="C18" s="19" t="s">
        <v>17</v>
      </c>
      <c r="D18" s="20">
        <v>44304</v>
      </c>
      <c r="E18" s="19">
        <v>125.13</v>
      </c>
      <c r="F18" s="21">
        <f>ROUNDUP(('4-19'!F18-'4-17'!F18)/2+'4-17'!F18,0)</f>
        <v>33209</v>
      </c>
      <c r="G18" s="22"/>
      <c r="H18" s="21">
        <f>ROUNDUP(('4-19'!H18-'4-17'!H18)/2+'4-17'!H18,0)</f>
        <v>33199</v>
      </c>
      <c r="I18" s="22"/>
      <c r="J18" s="21">
        <f>ROUNDUP(('4-19'!J18-'4-17'!J18)/2+'4-17'!J18,0)</f>
        <v>24559</v>
      </c>
      <c r="K18" s="22"/>
      <c r="L18" s="21">
        <v>115081</v>
      </c>
      <c r="M18" s="19">
        <v>237.21</v>
      </c>
      <c r="N18" s="19">
        <v>2.62</v>
      </c>
      <c r="O18" s="19">
        <v>12.7</v>
      </c>
      <c r="P18" s="19">
        <v>11.9</v>
      </c>
      <c r="Q18" s="19">
        <v>31.19</v>
      </c>
    </row>
    <row r="19" spans="1:17" x14ac:dyDescent="0.25">
      <c r="A19" s="19">
        <v>18</v>
      </c>
      <c r="B19" s="19" t="s">
        <v>37</v>
      </c>
      <c r="C19" s="19" t="s">
        <v>17</v>
      </c>
      <c r="D19" s="20">
        <v>44304</v>
      </c>
      <c r="E19" s="19" t="s">
        <v>26</v>
      </c>
      <c r="F19" s="21">
        <f>ROUNDUP(('4-19'!F19-'4-17'!F19)/2+'4-17'!F19,0)</f>
        <v>2906</v>
      </c>
      <c r="G19" s="22"/>
      <c r="H19" s="21">
        <f>ROUNDUP(('4-19'!H19-'4-17'!H19)/2+'4-17'!H19,0)</f>
        <v>2906</v>
      </c>
      <c r="I19" s="22"/>
      <c r="J19" s="21">
        <f>ROUNDUP(('4-19'!J19-'4-17'!J19)/2+'4-17'!J19,0)</f>
        <v>2053</v>
      </c>
      <c r="K19" s="22"/>
      <c r="L19" s="21">
        <v>12125</v>
      </c>
      <c r="M19" s="19">
        <v>22.24</v>
      </c>
      <c r="N19" s="19">
        <v>2.35</v>
      </c>
      <c r="O19" s="19">
        <v>18.3</v>
      </c>
      <c r="P19" s="19">
        <v>20.7</v>
      </c>
      <c r="Q19" s="19">
        <v>24.13</v>
      </c>
    </row>
    <row r="20" spans="1:17" x14ac:dyDescent="0.25">
      <c r="A20" s="19">
        <v>19</v>
      </c>
      <c r="B20" s="19" t="s">
        <v>38</v>
      </c>
      <c r="C20" s="19" t="s">
        <v>19</v>
      </c>
      <c r="D20" s="20">
        <v>44304</v>
      </c>
      <c r="E20" s="19">
        <v>67.89</v>
      </c>
      <c r="F20" s="21">
        <f>ROUNDUP(('4-19'!F20-'4-17'!F20)/2+'4-17'!F20,0)</f>
        <v>11275</v>
      </c>
      <c r="G20" s="22"/>
      <c r="H20" s="21">
        <f>ROUNDUP(('4-19'!H20-'4-17'!H20)/2+'4-17'!H20,0)</f>
        <v>11269</v>
      </c>
      <c r="I20" s="22"/>
      <c r="J20" s="21">
        <f>ROUNDUP(('4-19'!J20-'4-17'!J20)/2+'4-17'!J20,0)</f>
        <v>5916</v>
      </c>
      <c r="K20" s="22"/>
      <c r="L20" s="21">
        <v>45660</v>
      </c>
      <c r="M20" s="19">
        <v>88.44</v>
      </c>
      <c r="N20" s="19">
        <v>2.4700000000000002</v>
      </c>
      <c r="O20" s="19">
        <v>14.9</v>
      </c>
      <c r="P20" s="19">
        <v>24.6</v>
      </c>
      <c r="Q20" s="19">
        <v>18.7</v>
      </c>
    </row>
    <row r="21" spans="1:17" x14ac:dyDescent="0.25">
      <c r="A21" s="19">
        <v>20</v>
      </c>
      <c r="B21" s="19" t="s">
        <v>39</v>
      </c>
      <c r="C21" s="19" t="s">
        <v>17</v>
      </c>
      <c r="D21" s="20">
        <v>44304</v>
      </c>
      <c r="E21" s="19">
        <v>193.74</v>
      </c>
      <c r="F21" s="21">
        <f>ROUNDUP(('4-19'!F21-'4-17'!F21)/2+'4-17'!F21,0)</f>
        <v>2725</v>
      </c>
      <c r="G21" s="22"/>
      <c r="H21" s="21">
        <f>ROUNDUP(('4-19'!H21-'4-17'!H21)/2+'4-17'!H21,0)</f>
        <v>2723</v>
      </c>
      <c r="I21" s="23"/>
      <c r="J21" s="21">
        <f>ROUNDUP(('4-19'!J21-'4-17'!J21)/2+'4-17'!J21,0)</f>
        <v>1821</v>
      </c>
      <c r="K21" s="22"/>
      <c r="L21" s="21">
        <v>18582</v>
      </c>
      <c r="M21" s="19">
        <v>53.14</v>
      </c>
      <c r="N21" s="19">
        <v>2.5</v>
      </c>
      <c r="O21" s="19">
        <v>18.100000000000001</v>
      </c>
      <c r="P21" s="19">
        <v>17.899999999999999</v>
      </c>
      <c r="Q21" s="19">
        <v>20.65</v>
      </c>
    </row>
    <row r="22" spans="1:17" x14ac:dyDescent="0.25">
      <c r="A22" s="19">
        <v>21</v>
      </c>
      <c r="B22" s="19" t="s">
        <v>40</v>
      </c>
      <c r="C22" s="19" t="s">
        <v>25</v>
      </c>
      <c r="D22" s="20">
        <v>44304</v>
      </c>
      <c r="E22" s="19" t="s">
        <v>26</v>
      </c>
      <c r="F22" s="21">
        <f>ROUNDUP(('4-19'!F22-'4-17'!F22)/2+'4-17'!F22,0)</f>
        <v>1775</v>
      </c>
      <c r="G22" s="22"/>
      <c r="H22" s="21">
        <f>ROUNDUP(('4-19'!H22-'4-17'!H22)/2+'4-17'!H22,0)</f>
        <v>1775</v>
      </c>
      <c r="I22" s="23"/>
      <c r="J22" s="21">
        <f>ROUNDUP(('4-19'!J22-'4-17'!J22)/2+'4-17'!J22,0)</f>
        <v>1326</v>
      </c>
      <c r="K22" s="22"/>
      <c r="L22" s="21">
        <v>13811</v>
      </c>
      <c r="M22" s="19">
        <v>17.12</v>
      </c>
      <c r="N22" s="19">
        <v>2.71</v>
      </c>
      <c r="O22" s="19">
        <v>19.899999999999999</v>
      </c>
      <c r="P22" s="19">
        <v>17</v>
      </c>
      <c r="Q22" s="19">
        <v>27.57</v>
      </c>
    </row>
    <row r="23" spans="1:17" x14ac:dyDescent="0.25">
      <c r="A23" s="19">
        <v>22</v>
      </c>
      <c r="B23" s="19" t="s">
        <v>41</v>
      </c>
      <c r="C23" s="19" t="s">
        <v>25</v>
      </c>
      <c r="D23" s="20">
        <v>44304</v>
      </c>
      <c r="E23" s="19" t="s">
        <v>26</v>
      </c>
      <c r="F23" s="21">
        <f>ROUNDUP(('4-19'!F23-'4-17'!F23)/2+'4-17'!F23,0)</f>
        <v>3112</v>
      </c>
      <c r="G23" s="22"/>
      <c r="H23" s="21">
        <f>ROUNDUP(('4-19'!H23-'4-17'!H23)/2+'4-17'!H23,0)</f>
        <v>3112</v>
      </c>
      <c r="I23" s="22"/>
      <c r="J23" s="21">
        <f>ROUNDUP(('4-19'!J23-'4-17'!J23)/2+'4-17'!J23,0)</f>
        <v>2289</v>
      </c>
      <c r="K23" s="23"/>
      <c r="L23" s="21">
        <v>13639</v>
      </c>
      <c r="M23" s="19">
        <v>24.64</v>
      </c>
      <c r="N23" s="19">
        <v>2.5499999999999998</v>
      </c>
      <c r="O23" s="19">
        <v>11.4</v>
      </c>
      <c r="P23" s="19">
        <v>13.9</v>
      </c>
      <c r="Q23" s="19">
        <v>26.5</v>
      </c>
    </row>
    <row r="24" spans="1:17" x14ac:dyDescent="0.25">
      <c r="A24" s="19">
        <v>23</v>
      </c>
      <c r="B24" s="19" t="s">
        <v>42</v>
      </c>
      <c r="C24" s="19" t="s">
        <v>19</v>
      </c>
      <c r="D24" s="20">
        <v>44304</v>
      </c>
      <c r="E24" s="19" t="s">
        <v>26</v>
      </c>
      <c r="F24" s="21">
        <f>ROUNDUP(('4-19'!F24-'4-17'!F24)/2+'4-17'!F24,0)</f>
        <v>2233</v>
      </c>
      <c r="G24" s="22"/>
      <c r="H24" s="21">
        <f>ROUNDUP(('4-19'!H24-'4-17'!H24)/2+'4-17'!H24,0)</f>
        <v>2233</v>
      </c>
      <c r="I24" s="22"/>
      <c r="J24" s="21">
        <f>ROUNDUP(('4-19'!J24-'4-17'!J24)/2+'4-17'!J24,0)</f>
        <v>1503</v>
      </c>
      <c r="K24" s="22"/>
      <c r="L24" s="21">
        <v>14428</v>
      </c>
      <c r="M24" s="19">
        <v>28.08</v>
      </c>
      <c r="N24" s="19">
        <v>2.44</v>
      </c>
      <c r="O24" s="19">
        <v>14.3</v>
      </c>
      <c r="P24" s="19">
        <v>29.5</v>
      </c>
      <c r="Q24" s="19">
        <v>18.46</v>
      </c>
    </row>
    <row r="25" spans="1:17" x14ac:dyDescent="0.25">
      <c r="A25" s="19">
        <v>24</v>
      </c>
      <c r="B25" s="19" t="s">
        <v>43</v>
      </c>
      <c r="C25" s="19" t="s">
        <v>17</v>
      </c>
      <c r="D25" s="20">
        <v>44304</v>
      </c>
      <c r="E25" s="19">
        <v>144.78</v>
      </c>
      <c r="F25" s="21">
        <f>ROUNDUP(('4-19'!F25-'4-17'!F25)/2+'4-17'!F25,0)</f>
        <v>3161</v>
      </c>
      <c r="G25" s="22"/>
      <c r="H25" s="21">
        <f>ROUNDUP(('4-19'!H25-'4-17'!H25)/2+'4-17'!H25,0)</f>
        <v>3160</v>
      </c>
      <c r="I25" s="22"/>
      <c r="J25" s="21">
        <f>ROUNDUP(('4-19'!J25-'4-17'!J25)/2+'4-17'!J25,0)</f>
        <v>2345</v>
      </c>
      <c r="K25" s="22"/>
      <c r="L25" s="21">
        <v>26937</v>
      </c>
      <c r="M25" s="19">
        <v>42.25</v>
      </c>
      <c r="N25" s="19">
        <v>3.22</v>
      </c>
      <c r="O25" s="19">
        <v>12.2</v>
      </c>
      <c r="P25" s="19">
        <v>26.7</v>
      </c>
      <c r="Q25" s="19">
        <v>17.43</v>
      </c>
    </row>
    <row r="26" spans="1:17" x14ac:dyDescent="0.25">
      <c r="A26" s="19">
        <v>25</v>
      </c>
      <c r="B26" s="19" t="s">
        <v>44</v>
      </c>
      <c r="C26" s="19" t="s">
        <v>17</v>
      </c>
      <c r="D26" s="20">
        <v>44304</v>
      </c>
      <c r="E26" s="19">
        <v>135.63999999999999</v>
      </c>
      <c r="F26" s="21">
        <f>ROUNDUP(('4-19'!F26-'4-17'!F26)/2+'4-17'!F26,0)</f>
        <v>6165</v>
      </c>
      <c r="G26" s="22"/>
      <c r="H26" s="21">
        <f>ROUNDUP(('4-19'!H26-'4-17'!H26)/2+'4-17'!H26,0)</f>
        <v>6162</v>
      </c>
      <c r="I26" s="22"/>
      <c r="J26" s="21">
        <f>ROUNDUP(('4-19'!J26-'4-17'!J26)/2+'4-17'!J26,0)</f>
        <v>3570</v>
      </c>
      <c r="K26" s="22"/>
      <c r="L26" s="21">
        <v>42022</v>
      </c>
      <c r="M26" s="19">
        <v>36.340000000000003</v>
      </c>
      <c r="N26" s="19">
        <v>3.17</v>
      </c>
      <c r="O26" s="19">
        <v>26.2</v>
      </c>
      <c r="P26" s="19">
        <v>26.8</v>
      </c>
      <c r="Q26" s="19">
        <v>13.75</v>
      </c>
    </row>
    <row r="27" spans="1:17" x14ac:dyDescent="0.25">
      <c r="A27" s="19">
        <v>26</v>
      </c>
      <c r="B27" s="19" t="s">
        <v>45</v>
      </c>
      <c r="C27" s="19" t="s">
        <v>17</v>
      </c>
      <c r="D27" s="20">
        <v>44304</v>
      </c>
      <c r="E27" s="19">
        <v>149.55000000000001</v>
      </c>
      <c r="F27" s="21">
        <f>ROUNDUP(('4-19'!F27-'4-17'!F27)/2+'4-17'!F27,0)</f>
        <v>43191</v>
      </c>
      <c r="G27" s="22"/>
      <c r="H27" s="21">
        <f>ROUNDUP(('4-19'!H27-'4-17'!H27)/2+'4-17'!H27,0)</f>
        <v>43172</v>
      </c>
      <c r="I27" s="22"/>
      <c r="J27" s="21">
        <f>ROUNDUP(('4-19'!J27-'4-17'!J27)/2+'4-17'!J27,0)</f>
        <v>30991</v>
      </c>
      <c r="K27" s="22"/>
      <c r="L27" s="21">
        <v>193920</v>
      </c>
      <c r="M27" s="19">
        <v>410.01</v>
      </c>
      <c r="N27" s="19">
        <v>2.46</v>
      </c>
      <c r="O27" s="19">
        <v>12.6</v>
      </c>
      <c r="P27" s="19">
        <v>14.3</v>
      </c>
      <c r="Q27" s="19">
        <v>27.51</v>
      </c>
    </row>
    <row r="28" spans="1:17" x14ac:dyDescent="0.25">
      <c r="A28" s="19">
        <v>27</v>
      </c>
      <c r="B28" s="19" t="s">
        <v>46</v>
      </c>
      <c r="C28" s="19" t="s">
        <v>17</v>
      </c>
      <c r="D28" s="20">
        <v>44304</v>
      </c>
      <c r="E28" s="19">
        <v>165.69</v>
      </c>
      <c r="F28" s="21">
        <f>ROUNDUP(('4-19'!F28-'4-17'!F28)/2+'4-17'!F28,0)</f>
        <v>24076</v>
      </c>
      <c r="G28" s="22"/>
      <c r="H28" s="21">
        <f>ROUNDUP(('4-19'!H28-'4-17'!H28)/2+'4-17'!H28,0)</f>
        <v>24075</v>
      </c>
      <c r="I28" s="22"/>
      <c r="J28" s="21">
        <f>ROUNDUP(('4-19'!J28-'4-17'!J28)/2+'4-17'!J28,0)</f>
        <v>19404</v>
      </c>
      <c r="K28" s="22"/>
      <c r="L28" s="21">
        <v>106221</v>
      </c>
      <c r="M28" s="19">
        <v>104.38</v>
      </c>
      <c r="N28" s="19">
        <v>2.44</v>
      </c>
      <c r="O28" s="19">
        <v>12.7</v>
      </c>
      <c r="P28" s="19">
        <v>19.2</v>
      </c>
      <c r="Q28" s="19">
        <v>36.049999999999997</v>
      </c>
    </row>
    <row r="29" spans="1:17" x14ac:dyDescent="0.25">
      <c r="A29" s="19">
        <v>28</v>
      </c>
      <c r="B29" s="19" t="s">
        <v>47</v>
      </c>
      <c r="C29" s="19" t="s">
        <v>17</v>
      </c>
      <c r="D29" s="20">
        <v>44304</v>
      </c>
      <c r="E29" s="19">
        <v>225.75</v>
      </c>
      <c r="F29" s="21">
        <f>ROUNDUP(('4-19'!F29-'4-17'!F29)/2+'4-17'!F29,0)</f>
        <v>301509</v>
      </c>
      <c r="G29" s="22"/>
      <c r="H29" s="21">
        <f>ROUNDUP(('4-19'!H29-'4-17'!H29)/2+'4-17'!H29,0)</f>
        <v>301237</v>
      </c>
      <c r="I29" s="22"/>
      <c r="J29" s="21">
        <f>ROUNDUP(('4-19'!J29-'4-17'!J29)/2+'4-17'!J29,0)</f>
        <v>127646</v>
      </c>
      <c r="K29" s="22"/>
      <c r="L29" s="21">
        <v>1471968</v>
      </c>
      <c r="M29" s="24">
        <v>1440.39</v>
      </c>
      <c r="N29" s="19">
        <v>2.63</v>
      </c>
      <c r="O29" s="19">
        <v>13</v>
      </c>
      <c r="P29" s="19">
        <v>15.3</v>
      </c>
      <c r="Q29" s="19">
        <v>14.54</v>
      </c>
    </row>
    <row r="30" spans="1:17" x14ac:dyDescent="0.25">
      <c r="A30" s="19">
        <v>29</v>
      </c>
      <c r="B30" s="19" t="s">
        <v>48</v>
      </c>
      <c r="C30" s="19" t="s">
        <v>25</v>
      </c>
      <c r="D30" s="20">
        <v>44304</v>
      </c>
      <c r="E30" s="19" t="s">
        <v>26</v>
      </c>
      <c r="F30" s="21">
        <f>ROUNDUP(('4-19'!F30-'4-17'!F30)/2+'4-17'!F30,0)</f>
        <v>2539</v>
      </c>
      <c r="G30" s="22"/>
      <c r="H30" s="21">
        <f>ROUNDUP(('4-19'!H30-'4-17'!H30)/2+'4-17'!H30,0)</f>
        <v>2538</v>
      </c>
      <c r="I30" s="22"/>
      <c r="J30" s="21">
        <f>ROUNDUP(('4-19'!J30-'4-17'!J30)/2+'4-17'!J30,0)</f>
        <v>1710</v>
      </c>
      <c r="K30" s="22"/>
      <c r="L30" s="21">
        <v>19617</v>
      </c>
      <c r="M30" s="19">
        <v>40.97</v>
      </c>
      <c r="N30" s="19">
        <v>2.5099999999999998</v>
      </c>
      <c r="O30" s="19">
        <v>18.899999999999999</v>
      </c>
      <c r="P30" s="19">
        <v>25.6</v>
      </c>
      <c r="Q30" s="19">
        <v>19.989999999999998</v>
      </c>
    </row>
    <row r="31" spans="1:17" x14ac:dyDescent="0.25">
      <c r="A31" s="19">
        <v>30</v>
      </c>
      <c r="B31" s="19" t="s">
        <v>49</v>
      </c>
      <c r="C31" s="19" t="s">
        <v>17</v>
      </c>
      <c r="D31" s="20">
        <v>44304</v>
      </c>
      <c r="E31" s="19">
        <v>109.43</v>
      </c>
      <c r="F31" s="21">
        <f>ROUNDUP(('4-19'!F31-'4-17'!F31)/2+'4-17'!F31,0)</f>
        <v>47261</v>
      </c>
      <c r="G31" s="22"/>
      <c r="H31" s="21">
        <f>ROUNDUP(('4-19'!H31-'4-17'!H31)/2+'4-17'!H31,0)</f>
        <v>47245</v>
      </c>
      <c r="I31" s="22"/>
      <c r="J31" s="21">
        <f>ROUNDUP(('4-19'!J31-'4-17'!J31)/2+'4-17'!J31,0)</f>
        <v>36245</v>
      </c>
      <c r="K31" s="22"/>
      <c r="L31" s="21">
        <v>159923</v>
      </c>
      <c r="M31" s="19">
        <v>318.08</v>
      </c>
      <c r="N31" s="19">
        <v>2.6</v>
      </c>
      <c r="O31" s="19">
        <v>12.1</v>
      </c>
      <c r="P31" s="19">
        <v>12.2</v>
      </c>
      <c r="Q31" s="19">
        <v>33.85</v>
      </c>
    </row>
    <row r="32" spans="1:17" x14ac:dyDescent="0.25">
      <c r="A32" s="19">
        <v>31</v>
      </c>
      <c r="B32" s="19" t="s">
        <v>50</v>
      </c>
      <c r="C32" s="19" t="s">
        <v>25</v>
      </c>
      <c r="D32" s="20">
        <v>44304</v>
      </c>
      <c r="E32" s="19">
        <v>40.94</v>
      </c>
      <c r="F32" s="21">
        <f>ROUNDUP(('4-19'!F32-'4-17'!F32)/2+'4-17'!F32,0)</f>
        <v>8586</v>
      </c>
      <c r="G32" s="22"/>
      <c r="H32" s="21">
        <f>ROUNDUP(('4-19'!H32-'4-17'!H32)/2+'4-17'!H32,0)</f>
        <v>8585</v>
      </c>
      <c r="I32" s="22"/>
      <c r="J32" s="21">
        <f>ROUNDUP(('4-19'!J32-'4-17'!J32)/2+'4-17'!J32,0)</f>
        <v>5173</v>
      </c>
      <c r="K32" s="22"/>
      <c r="L32" s="21">
        <v>46414</v>
      </c>
      <c r="M32" s="19">
        <v>50.55</v>
      </c>
      <c r="N32" s="19">
        <v>2.4</v>
      </c>
      <c r="O32" s="19">
        <v>11.3</v>
      </c>
      <c r="P32" s="19">
        <v>20.6</v>
      </c>
      <c r="Q32" s="19">
        <v>20.62</v>
      </c>
    </row>
    <row r="33" spans="1:17" x14ac:dyDescent="0.25">
      <c r="A33" s="19">
        <v>32</v>
      </c>
      <c r="B33" s="19" t="s">
        <v>51</v>
      </c>
      <c r="C33" s="19" t="s">
        <v>19</v>
      </c>
      <c r="D33" s="20">
        <v>44304</v>
      </c>
      <c r="E33" s="19">
        <v>77.209999999999994</v>
      </c>
      <c r="F33" s="21">
        <f>ROUNDUP(('4-19'!F33-'4-17'!F33)/2+'4-17'!F33,0)</f>
        <v>4409</v>
      </c>
      <c r="G33" s="22"/>
      <c r="H33" s="21">
        <f>ROUNDUP(('4-19'!H33-'4-17'!H33)/2+'4-17'!H33,0)</f>
        <v>4409</v>
      </c>
      <c r="I33" s="22"/>
      <c r="J33" s="21">
        <f>ROUNDUP(('4-19'!J33-'4-17'!J33)/2+'4-17'!J33,0)</f>
        <v>3181</v>
      </c>
      <c r="K33" s="22"/>
      <c r="L33" s="21">
        <v>14246</v>
      </c>
      <c r="M33" s="19">
        <v>23.82</v>
      </c>
      <c r="N33" s="19">
        <v>2.04</v>
      </c>
      <c r="O33" s="19">
        <v>6.4</v>
      </c>
      <c r="P33" s="19">
        <v>14.1</v>
      </c>
      <c r="Q33" s="19">
        <v>24.65</v>
      </c>
    </row>
    <row r="34" spans="1:17" x14ac:dyDescent="0.25">
      <c r="A34" s="19">
        <v>33</v>
      </c>
      <c r="B34" s="19" t="s">
        <v>52</v>
      </c>
      <c r="C34" s="19" t="s">
        <v>25</v>
      </c>
      <c r="D34" s="20">
        <v>44304</v>
      </c>
      <c r="E34" s="19" t="s">
        <v>26</v>
      </c>
      <c r="F34" s="21">
        <f>ROUNDUP(('4-19'!F34-'4-17'!F34)/2+'4-17'!F34,0)</f>
        <v>1290</v>
      </c>
      <c r="G34" s="22"/>
      <c r="H34" s="21">
        <f>ROUNDUP(('4-19'!H34-'4-17'!H34)/2+'4-17'!H34,0)</f>
        <v>1290</v>
      </c>
      <c r="I34" s="22"/>
      <c r="J34" s="21">
        <f>ROUNDUP(('4-19'!J34-'4-17'!J34)/2+'4-17'!J34,0)</f>
        <v>1058</v>
      </c>
      <c r="K34" s="22"/>
      <c r="L34" s="21">
        <v>8422</v>
      </c>
      <c r="M34" s="19">
        <v>15.5</v>
      </c>
      <c r="N34" s="19">
        <v>3.43</v>
      </c>
      <c r="O34" s="19">
        <v>17.600000000000001</v>
      </c>
      <c r="P34" s="19">
        <v>20.100000000000001</v>
      </c>
      <c r="Q34" s="19">
        <v>17.28</v>
      </c>
    </row>
    <row r="35" spans="1:17" x14ac:dyDescent="0.25">
      <c r="A35" s="19">
        <v>34</v>
      </c>
      <c r="B35" s="19" t="s">
        <v>53</v>
      </c>
      <c r="C35" s="19" t="s">
        <v>17</v>
      </c>
      <c r="D35" s="20">
        <v>44304</v>
      </c>
      <c r="E35" s="19">
        <v>190.95</v>
      </c>
      <c r="F35" s="21">
        <f>ROUNDUP(('4-19'!F35-'4-17'!F35)/2+'4-17'!F35,0)</f>
        <v>104159</v>
      </c>
      <c r="G35" s="22"/>
      <c r="H35" s="21">
        <f>ROUNDUP(('4-19'!H35-'4-17'!H35)/2+'4-17'!H35,0)</f>
        <v>104069</v>
      </c>
      <c r="I35" s="22"/>
      <c r="J35" s="21">
        <f>ROUNDUP(('4-19'!J35-'4-17'!J35)/2+'4-17'!J35,0)</f>
        <v>74277</v>
      </c>
      <c r="K35" s="22"/>
      <c r="L35" s="21">
        <v>367118</v>
      </c>
      <c r="M35" s="19">
        <v>386.13</v>
      </c>
      <c r="N35" s="19">
        <v>2.5499999999999998</v>
      </c>
      <c r="O35" s="19">
        <v>11.6</v>
      </c>
      <c r="P35" s="19">
        <v>12.5</v>
      </c>
      <c r="Q35" s="19">
        <v>27.07</v>
      </c>
    </row>
    <row r="36" spans="1:17" x14ac:dyDescent="0.25">
      <c r="A36" s="19">
        <v>35</v>
      </c>
      <c r="B36" s="19" t="s">
        <v>54</v>
      </c>
      <c r="C36" s="19" t="s">
        <v>17</v>
      </c>
      <c r="D36" s="20">
        <v>44304</v>
      </c>
      <c r="E36" s="19">
        <v>205.69</v>
      </c>
      <c r="F36" s="21">
        <f>ROUNDUP(('4-19'!F36-'4-17'!F36)/2+'4-17'!F36,0)</f>
        <v>185812</v>
      </c>
      <c r="G36" s="22"/>
      <c r="H36" s="21">
        <f>ROUNDUP(('4-19'!H36-'4-17'!H36)/2+'4-17'!H36,0)</f>
        <v>185775</v>
      </c>
      <c r="I36" s="22"/>
      <c r="J36" s="21">
        <f>ROUNDUP(('4-19'!J36-'4-17'!J36)/2+'4-17'!J36,0)</f>
        <v>140371</v>
      </c>
      <c r="K36" s="22"/>
      <c r="L36" s="21">
        <v>770577</v>
      </c>
      <c r="M36" s="19">
        <v>986.08</v>
      </c>
      <c r="N36" s="19">
        <v>2.61</v>
      </c>
      <c r="O36" s="19">
        <v>14.3</v>
      </c>
      <c r="P36" s="19">
        <v>14</v>
      </c>
      <c r="Q36" s="19">
        <v>29.15</v>
      </c>
    </row>
    <row r="37" spans="1:17" x14ac:dyDescent="0.25">
      <c r="A37" s="19">
        <v>36</v>
      </c>
      <c r="B37" s="19" t="s">
        <v>55</v>
      </c>
      <c r="C37" s="19" t="s">
        <v>19</v>
      </c>
      <c r="D37" s="20">
        <v>44304</v>
      </c>
      <c r="E37" s="19">
        <v>88.22</v>
      </c>
      <c r="F37" s="21">
        <f>ROUNDUP(('4-19'!F37-'4-17'!F37)/2+'4-17'!F37,0)</f>
        <v>68310</v>
      </c>
      <c r="G37" s="22"/>
      <c r="H37" s="21">
        <f>ROUNDUP(('4-19'!H37-'4-17'!H37)/2+'4-17'!H37,0)</f>
        <v>68222</v>
      </c>
      <c r="I37" s="22"/>
      <c r="J37" s="21">
        <f>ROUNDUP(('4-19'!J37-'4-17'!J37)/2+'4-17'!J37,0)</f>
        <v>31491</v>
      </c>
      <c r="K37" s="22"/>
      <c r="L37" s="21">
        <v>293582</v>
      </c>
      <c r="M37" s="19">
        <v>440.23</v>
      </c>
      <c r="N37" s="19">
        <v>2.4300000000000002</v>
      </c>
      <c r="O37" s="19">
        <v>8.1999999999999993</v>
      </c>
      <c r="P37" s="19">
        <v>20.399999999999999</v>
      </c>
      <c r="Q37" s="19">
        <v>13.89</v>
      </c>
    </row>
    <row r="38" spans="1:17" x14ac:dyDescent="0.25">
      <c r="A38" s="19">
        <v>37</v>
      </c>
      <c r="B38" s="19" t="s">
        <v>56</v>
      </c>
      <c r="C38" s="19" t="s">
        <v>17</v>
      </c>
      <c r="D38" s="20">
        <v>44304</v>
      </c>
      <c r="E38" s="19">
        <v>199.99</v>
      </c>
      <c r="F38" s="21">
        <f>ROUNDUP(('4-19'!F38-'4-17'!F38)/2+'4-17'!F38,0)</f>
        <v>7356</v>
      </c>
      <c r="G38" s="22"/>
      <c r="H38" s="21">
        <f>ROUNDUP(('4-19'!H38-'4-17'!H38)/2+'4-17'!H38,0)</f>
        <v>7351</v>
      </c>
      <c r="I38" s="22"/>
      <c r="J38" s="21">
        <f>ROUNDUP(('4-19'!J38-'4-17'!J38)/2+'4-17'!J38,0)</f>
        <v>5284</v>
      </c>
      <c r="K38" s="22"/>
      <c r="L38" s="21">
        <v>41503</v>
      </c>
      <c r="M38" s="19">
        <v>37.119999999999997</v>
      </c>
      <c r="N38" s="19">
        <v>2.41</v>
      </c>
      <c r="O38" s="19">
        <v>15.5</v>
      </c>
      <c r="P38" s="19">
        <v>20.7</v>
      </c>
      <c r="Q38" s="19">
        <v>25.15</v>
      </c>
    </row>
    <row r="39" spans="1:17" x14ac:dyDescent="0.25">
      <c r="A39" s="19">
        <v>38</v>
      </c>
      <c r="B39" s="19" t="s">
        <v>57</v>
      </c>
      <c r="C39" s="19" t="s">
        <v>25</v>
      </c>
      <c r="D39" s="20">
        <v>44304</v>
      </c>
      <c r="E39" s="19" t="s">
        <v>26</v>
      </c>
      <c r="F39" s="21">
        <f>ROUNDUP(('4-19'!F39-'4-17'!F39)/2+'4-17'!F39,0)</f>
        <v>1166</v>
      </c>
      <c r="G39" s="22"/>
      <c r="H39" s="21">
        <f>ROUNDUP(('4-19'!H39-'4-17'!H39)/2+'4-17'!H39,0)</f>
        <v>1166</v>
      </c>
      <c r="I39" s="22"/>
      <c r="J39" s="21">
        <f>ROUNDUP(('4-19'!J39-'4-17'!J39)/2+'4-17'!J39,0)</f>
        <v>706</v>
      </c>
      <c r="K39" s="22"/>
      <c r="L39" s="21">
        <v>8354</v>
      </c>
      <c r="M39" s="19">
        <v>10</v>
      </c>
      <c r="N39" s="19">
        <v>2.9</v>
      </c>
      <c r="O39" s="19">
        <v>18.5</v>
      </c>
      <c r="P39" s="19">
        <v>13</v>
      </c>
      <c r="Q39" s="19">
        <v>15.04</v>
      </c>
    </row>
    <row r="40" spans="1:17" x14ac:dyDescent="0.25">
      <c r="A40" s="19">
        <v>39</v>
      </c>
      <c r="B40" s="19" t="s">
        <v>58</v>
      </c>
      <c r="C40" s="19" t="s">
        <v>25</v>
      </c>
      <c r="D40" s="20">
        <v>44304</v>
      </c>
      <c r="E40" s="19" t="s">
        <v>26</v>
      </c>
      <c r="F40" s="21">
        <f>ROUNDUP(('4-19'!F40-'4-17'!F40)/2+'4-17'!F40,0)</f>
        <v>3783</v>
      </c>
      <c r="G40" s="22"/>
      <c r="H40" s="21">
        <f>ROUNDUP(('4-19'!H40-'4-17'!H40)/2+'4-17'!H40,0)</f>
        <v>3782</v>
      </c>
      <c r="I40" s="23"/>
      <c r="J40" s="21">
        <f>ROUNDUP(('4-19'!J40-'4-17'!J40)/2+'4-17'!J40,0)</f>
        <v>2427</v>
      </c>
      <c r="K40" s="22"/>
      <c r="L40" s="21">
        <v>18493</v>
      </c>
      <c r="M40" s="19">
        <v>26.55</v>
      </c>
      <c r="N40" s="19">
        <v>2.4500000000000002</v>
      </c>
      <c r="O40" s="19">
        <v>13.1</v>
      </c>
      <c r="P40" s="19">
        <v>28.2</v>
      </c>
      <c r="Q40" s="19">
        <v>21.1</v>
      </c>
    </row>
    <row r="41" spans="1:17" x14ac:dyDescent="0.25">
      <c r="A41" s="19">
        <v>40</v>
      </c>
      <c r="B41" s="19" t="s">
        <v>59</v>
      </c>
      <c r="C41" s="19" t="s">
        <v>17</v>
      </c>
      <c r="D41" s="20">
        <v>44304</v>
      </c>
      <c r="E41" s="19">
        <v>208.31</v>
      </c>
      <c r="F41" s="21">
        <f>ROUNDUP(('4-19'!F41-'4-17'!F41)/2+'4-17'!F41,0)</f>
        <v>97998</v>
      </c>
      <c r="G41" s="23"/>
      <c r="H41" s="21">
        <f>ROUNDUP(('4-19'!H41-'4-17'!H41)/2+'4-17'!H41,0)</f>
        <v>97977</v>
      </c>
      <c r="I41" s="22"/>
      <c r="J41" s="21">
        <f>ROUNDUP(('4-19'!J41-'4-17'!J41)/2+'4-17'!J41,0)</f>
        <v>71362</v>
      </c>
      <c r="K41" s="22"/>
      <c r="L41" s="21">
        <v>403253</v>
      </c>
      <c r="M41" s="19">
        <v>542.28</v>
      </c>
      <c r="N41" s="19">
        <v>2.57</v>
      </c>
      <c r="O41" s="19">
        <v>12.7</v>
      </c>
      <c r="P41" s="19">
        <v>12.5</v>
      </c>
      <c r="Q41" s="19">
        <v>28.06</v>
      </c>
    </row>
    <row r="42" spans="1:17" x14ac:dyDescent="0.25">
      <c r="A42" s="19">
        <v>41</v>
      </c>
      <c r="B42" s="19" t="s">
        <v>60</v>
      </c>
      <c r="C42" s="19" t="s">
        <v>19</v>
      </c>
      <c r="D42" s="20">
        <v>44304</v>
      </c>
      <c r="E42" s="19">
        <v>95.19</v>
      </c>
      <c r="F42" s="21">
        <f>ROUNDUP(('4-19'!F42-'4-17'!F42)/2+'4-17'!F42,0)</f>
        <v>87707</v>
      </c>
      <c r="G42" s="22"/>
      <c r="H42" s="21">
        <f>ROUNDUP(('4-19'!H42-'4-17'!H42)/2+'4-17'!H42,0)</f>
        <v>87685</v>
      </c>
      <c r="I42" s="23"/>
      <c r="J42" s="21">
        <f>ROUNDUP(('4-19'!J42-'4-17'!J42)/2+'4-17'!J42,0)</f>
        <v>64549</v>
      </c>
      <c r="K42" s="22"/>
      <c r="L42" s="21">
        <v>365579</v>
      </c>
      <c r="M42" s="19">
        <v>230.15</v>
      </c>
      <c r="N42" s="19">
        <v>2.48</v>
      </c>
      <c r="O42" s="19">
        <v>12.3</v>
      </c>
      <c r="P42" s="19">
        <v>16.600000000000001</v>
      </c>
      <c r="Q42" s="19">
        <v>29.18</v>
      </c>
    </row>
    <row r="43" spans="1:17" x14ac:dyDescent="0.25">
      <c r="A43" s="19">
        <v>42</v>
      </c>
      <c r="B43" s="19" t="s">
        <v>61</v>
      </c>
      <c r="C43" s="19" t="s">
        <v>17</v>
      </c>
      <c r="D43" s="20">
        <v>44304</v>
      </c>
      <c r="E43" s="19">
        <v>115.53</v>
      </c>
      <c r="F43" s="21">
        <f>ROUNDUP(('4-19'!F43-'4-17'!F43)/2+'4-17'!F43,0)</f>
        <v>46950</v>
      </c>
      <c r="G43" s="22"/>
      <c r="H43" s="21">
        <f>ROUNDUP(('4-19'!H43-'4-17'!H43)/2+'4-17'!H43,0)</f>
        <v>46931</v>
      </c>
      <c r="I43" s="22"/>
      <c r="J43" s="21">
        <f>ROUNDUP(('4-19'!J43-'4-17'!J43)/2+'4-17'!J43,0)</f>
        <v>35972</v>
      </c>
      <c r="K43" s="22"/>
      <c r="L43" s="21">
        <v>161000</v>
      </c>
      <c r="M43" s="19">
        <v>296.05</v>
      </c>
      <c r="N43" s="19">
        <v>2.41</v>
      </c>
      <c r="O43" s="19">
        <v>11.5</v>
      </c>
      <c r="P43" s="19">
        <v>10.5</v>
      </c>
      <c r="Q43" s="19">
        <v>31.53</v>
      </c>
    </row>
    <row r="44" spans="1:17" x14ac:dyDescent="0.25">
      <c r="A44" s="19">
        <v>43</v>
      </c>
      <c r="B44" s="19" t="s">
        <v>62</v>
      </c>
      <c r="C44" s="19" t="s">
        <v>17</v>
      </c>
      <c r="D44" s="20">
        <v>44304</v>
      </c>
      <c r="E44" s="19">
        <v>356.39</v>
      </c>
      <c r="F44" s="21">
        <f>ROUNDUP(('4-19'!F44-'4-17'!F44)/2+'4-17'!F44,0)</f>
        <v>670460</v>
      </c>
      <c r="G44" s="22"/>
      <c r="H44" s="21">
        <f>ROUNDUP(('4-19'!H44-'4-17'!H44)/2+'4-17'!H44,0)</f>
        <v>669061</v>
      </c>
      <c r="I44" s="22"/>
      <c r="J44" s="21">
        <f>ROUNDUP(('4-19'!J44-'4-17'!J44)/2+'4-17'!J44,0)</f>
        <v>295860</v>
      </c>
      <c r="K44" s="23"/>
      <c r="L44" s="21">
        <v>2716940</v>
      </c>
      <c r="M44" s="24">
        <v>1430.09</v>
      </c>
      <c r="N44" s="19">
        <v>3.07</v>
      </c>
      <c r="O44" s="19">
        <v>18.100000000000001</v>
      </c>
      <c r="P44" s="19">
        <v>18</v>
      </c>
      <c r="Q44" s="19">
        <v>16.66</v>
      </c>
    </row>
    <row r="45" spans="1:17" x14ac:dyDescent="0.25">
      <c r="A45" s="19">
        <v>44</v>
      </c>
      <c r="B45" s="19" t="s">
        <v>63</v>
      </c>
      <c r="C45" s="19" t="s">
        <v>17</v>
      </c>
      <c r="D45" s="20">
        <v>44304</v>
      </c>
      <c r="E45" s="19">
        <v>161.66</v>
      </c>
      <c r="F45" s="21">
        <f>ROUNDUP(('4-19'!F45-'4-17'!F45)/2+'4-17'!F45,0)</f>
        <v>21191</v>
      </c>
      <c r="G45" s="23"/>
      <c r="H45" s="21">
        <f>ROUNDUP(('4-19'!H45-'4-17'!H45)/2+'4-17'!H45,0)</f>
        <v>21183</v>
      </c>
      <c r="I45" s="22"/>
      <c r="J45" s="21">
        <f>ROUNDUP(('4-19'!J45-'4-17'!J45)/2+'4-17'!J45,0)</f>
        <v>13224</v>
      </c>
      <c r="K45" s="22"/>
      <c r="L45" s="21">
        <v>74228</v>
      </c>
      <c r="M45" s="19">
        <v>75.510000000000005</v>
      </c>
      <c r="N45" s="19">
        <v>2.39</v>
      </c>
      <c r="O45" s="19">
        <v>17.8</v>
      </c>
      <c r="P45" s="19">
        <v>11.8</v>
      </c>
      <c r="Q45" s="19">
        <v>23.75</v>
      </c>
    </row>
    <row r="46" spans="1:17" x14ac:dyDescent="0.25">
      <c r="A46" s="19">
        <v>45</v>
      </c>
      <c r="B46" s="19" t="s">
        <v>64</v>
      </c>
      <c r="C46" s="19" t="s">
        <v>19</v>
      </c>
      <c r="D46" s="20">
        <v>44304</v>
      </c>
      <c r="E46" s="19">
        <v>65.44</v>
      </c>
      <c r="F46" s="21">
        <f>ROUNDUP(('4-19'!F46-'4-17'!F46)/2+'4-17'!F46,0)</f>
        <v>24715</v>
      </c>
      <c r="G46" s="22"/>
      <c r="H46" s="21">
        <f>ROUNDUP(('4-19'!H46-'4-17'!H46)/2+'4-17'!H46,0)</f>
        <v>24701</v>
      </c>
      <c r="I46" s="22"/>
      <c r="J46" s="21">
        <f>ROUNDUP(('4-19'!J46-'4-17'!J46)/2+'4-17'!J46,0)</f>
        <v>15544</v>
      </c>
      <c r="K46" s="22"/>
      <c r="L46" s="21">
        <v>88625</v>
      </c>
      <c r="M46" s="19">
        <v>136.62</v>
      </c>
      <c r="N46" s="19">
        <v>2.5499999999999998</v>
      </c>
      <c r="O46" s="19">
        <v>11</v>
      </c>
      <c r="P46" s="19">
        <v>10.199999999999999</v>
      </c>
      <c r="Q46" s="19">
        <v>22.83</v>
      </c>
    </row>
    <row r="47" spans="1:17" x14ac:dyDescent="0.25">
      <c r="A47" s="19">
        <v>46</v>
      </c>
      <c r="B47" s="19" t="s">
        <v>65</v>
      </c>
      <c r="C47" s="19" t="s">
        <v>19</v>
      </c>
      <c r="D47" s="20">
        <v>44304</v>
      </c>
      <c r="E47" s="19">
        <v>90.16</v>
      </c>
      <c r="F47" s="21">
        <f>ROUNDUP(('4-19'!F47-'4-17'!F47)/2+'4-17'!F47,0)</f>
        <v>44565</v>
      </c>
      <c r="G47" s="23"/>
      <c r="H47" s="21">
        <f>ROUNDUP(('4-19'!H47-'4-17'!H47)/2+'4-17'!H47,0)</f>
        <v>44541</v>
      </c>
      <c r="I47" s="23"/>
      <c r="J47" s="21">
        <f>ROUNDUP(('4-19'!J47-'4-17'!J47)/2+'4-17'!J47,0)</f>
        <v>24240</v>
      </c>
      <c r="K47" s="22"/>
      <c r="L47" s="21">
        <v>210738</v>
      </c>
      <c r="M47" s="19">
        <v>226.55</v>
      </c>
      <c r="N47" s="19">
        <v>2.52</v>
      </c>
      <c r="O47" s="19">
        <v>12.2</v>
      </c>
      <c r="P47" s="19">
        <v>11.5</v>
      </c>
      <c r="Q47" s="19">
        <v>16.309999999999999</v>
      </c>
    </row>
    <row r="48" spans="1:17" x14ac:dyDescent="0.25">
      <c r="A48" s="19">
        <v>47</v>
      </c>
      <c r="B48" s="19" t="s">
        <v>66</v>
      </c>
      <c r="C48" s="19" t="s">
        <v>17</v>
      </c>
      <c r="D48" s="20">
        <v>44304</v>
      </c>
      <c r="E48" s="19">
        <v>151.77000000000001</v>
      </c>
      <c r="F48" s="21">
        <f>ROUNDUP(('4-19'!F48-'4-17'!F48)/2+'4-17'!F48,0)</f>
        <v>6899</v>
      </c>
      <c r="G48" s="22"/>
      <c r="H48" s="21">
        <f>ROUNDUP(('4-19'!H48-'4-17'!H48)/2+'4-17'!H48,0)</f>
        <v>6897</v>
      </c>
      <c r="I48" s="22"/>
      <c r="J48" s="21">
        <f>ROUNDUP(('4-19'!J48-'4-17'!J48)/2+'4-17'!J48,0)</f>
        <v>5323</v>
      </c>
      <c r="K48" s="22"/>
      <c r="L48" s="21">
        <v>42168</v>
      </c>
      <c r="M48" s="19">
        <v>54.82</v>
      </c>
      <c r="N48" s="19">
        <v>2.73</v>
      </c>
      <c r="O48" s="19">
        <v>18.100000000000001</v>
      </c>
      <c r="P48" s="19">
        <v>22.7</v>
      </c>
      <c r="Q48" s="19">
        <v>20.12</v>
      </c>
    </row>
    <row r="49" spans="1:17" x14ac:dyDescent="0.25">
      <c r="A49" s="19">
        <v>48</v>
      </c>
      <c r="B49" s="19" t="s">
        <v>67</v>
      </c>
      <c r="C49" s="19" t="s">
        <v>17</v>
      </c>
      <c r="D49" s="20">
        <v>44304</v>
      </c>
      <c r="E49" s="19">
        <v>230.58</v>
      </c>
      <c r="F49" s="21">
        <f>ROUNDUP(('4-19'!F49-'4-17'!F49)/2+'4-17'!F49,0)</f>
        <v>290085</v>
      </c>
      <c r="G49" s="22"/>
      <c r="H49" s="21">
        <f>ROUNDUP(('4-19'!H49-'4-17'!H49)/2+'4-17'!H49,0)</f>
        <v>289432</v>
      </c>
      <c r="I49" s="22"/>
      <c r="J49" s="21">
        <f>ROUNDUP(('4-19'!J49-'4-17'!J49)/2+'4-17'!J49,0)</f>
        <v>115287</v>
      </c>
      <c r="K49" s="22"/>
      <c r="L49" s="21">
        <v>1393452</v>
      </c>
      <c r="M49" s="24">
        <v>1545.08</v>
      </c>
      <c r="N49" s="19">
        <v>2.81</v>
      </c>
      <c r="O49" s="19">
        <v>14.5</v>
      </c>
      <c r="P49" s="19">
        <v>16.100000000000001</v>
      </c>
      <c r="Q49" s="19">
        <v>12.31</v>
      </c>
    </row>
    <row r="50" spans="1:17" x14ac:dyDescent="0.25">
      <c r="A50" s="19">
        <v>49</v>
      </c>
      <c r="B50" s="19" t="s">
        <v>68</v>
      </c>
      <c r="C50" s="19" t="s">
        <v>17</v>
      </c>
      <c r="D50" s="20">
        <v>44304</v>
      </c>
      <c r="E50" s="19">
        <v>309.51</v>
      </c>
      <c r="F50" s="21">
        <f>ROUNDUP(('4-19'!F50-'4-17'!F50)/2+'4-17'!F50,0)</f>
        <v>70045</v>
      </c>
      <c r="G50" s="22"/>
      <c r="H50" s="21">
        <f>ROUNDUP(('4-19'!H50-'4-17'!H50)/2+'4-17'!H50,0)</f>
        <v>69977</v>
      </c>
      <c r="I50" s="23"/>
      <c r="J50" s="21">
        <f>ROUNDUP(('4-19'!J50-'4-17'!J50)/2+'4-17'!J50,0)</f>
        <v>34341</v>
      </c>
      <c r="K50" s="22"/>
      <c r="L50" s="21">
        <v>375751</v>
      </c>
      <c r="M50" s="19">
        <v>283.04000000000002</v>
      </c>
      <c r="N50" s="19">
        <v>3.4</v>
      </c>
      <c r="O50" s="19">
        <v>15.8</v>
      </c>
      <c r="P50" s="19">
        <v>16.3</v>
      </c>
      <c r="Q50" s="19">
        <v>13.52</v>
      </c>
    </row>
    <row r="51" spans="1:17" x14ac:dyDescent="0.25">
      <c r="A51" s="19">
        <v>50</v>
      </c>
      <c r="B51" s="19" t="s">
        <v>69</v>
      </c>
      <c r="C51" s="19" t="s">
        <v>17</v>
      </c>
      <c r="D51" s="20">
        <v>44304</v>
      </c>
      <c r="E51" s="19">
        <v>180.25</v>
      </c>
      <c r="F51" s="21">
        <f>ROUNDUP(('4-19'!F51-'4-17'!F51)/2+'4-17'!F51,0)</f>
        <v>380338</v>
      </c>
      <c r="G51" s="22"/>
      <c r="H51" s="21">
        <f>ROUNDUP(('4-19'!H51-'4-17'!H51)/2+'4-17'!H51,0)</f>
        <v>379960</v>
      </c>
      <c r="I51" s="23"/>
      <c r="J51" s="21">
        <f>ROUNDUP(('4-19'!J51-'4-17'!J51)/2+'4-17'!J51,0)</f>
        <v>244391</v>
      </c>
      <c r="K51" s="22"/>
      <c r="L51" s="21">
        <v>1496770</v>
      </c>
      <c r="M51" s="19">
        <v>761.99</v>
      </c>
      <c r="N51" s="19">
        <v>2.6</v>
      </c>
      <c r="O51" s="19">
        <v>13.6</v>
      </c>
      <c r="P51" s="19">
        <v>12.8</v>
      </c>
      <c r="Q51" s="19">
        <v>24.36</v>
      </c>
    </row>
    <row r="52" spans="1:17" x14ac:dyDescent="0.25">
      <c r="A52" s="19">
        <v>51</v>
      </c>
      <c r="B52" s="19" t="s">
        <v>70</v>
      </c>
      <c r="C52" s="19" t="s">
        <v>17</v>
      </c>
      <c r="D52" s="20">
        <v>44304</v>
      </c>
      <c r="E52" s="19">
        <v>198.21</v>
      </c>
      <c r="F52" s="21">
        <f>ROUNDUP(('4-19'!F52-'4-17'!F52)/2+'4-17'!F52,0)</f>
        <v>118936</v>
      </c>
      <c r="G52" s="22"/>
      <c r="H52" s="21">
        <f>ROUNDUP(('4-19'!H52-'4-17'!H52)/2+'4-17'!H52,0)</f>
        <v>118872</v>
      </c>
      <c r="I52" s="22"/>
      <c r="J52" s="21">
        <f>ROUNDUP(('4-19'!J52-'4-17'!J52)/2+'4-17'!J52,0)</f>
        <v>74290</v>
      </c>
      <c r="K52" s="22"/>
      <c r="L52" s="21">
        <v>553947</v>
      </c>
      <c r="M52" s="19">
        <v>741.98</v>
      </c>
      <c r="N52" s="19">
        <v>2.52</v>
      </c>
      <c r="O52" s="19">
        <v>11.8</v>
      </c>
      <c r="P52" s="19">
        <v>13.5</v>
      </c>
      <c r="Q52" s="19">
        <v>22.65</v>
      </c>
    </row>
    <row r="53" spans="1:17" x14ac:dyDescent="0.25">
      <c r="A53" s="19">
        <v>52</v>
      </c>
      <c r="B53" s="19" t="s">
        <v>71</v>
      </c>
      <c r="C53" s="19" t="s">
        <v>17</v>
      </c>
      <c r="D53" s="20">
        <v>44304</v>
      </c>
      <c r="E53" s="19">
        <v>176.21</v>
      </c>
      <c r="F53" s="21">
        <f>ROUNDUP(('4-19'!F53-'4-17'!F53)/2+'4-17'!F53,0)</f>
        <v>267228</v>
      </c>
      <c r="G53" s="22"/>
      <c r="H53" s="21">
        <f>ROUNDUP(('4-19'!H53-'4-17'!H53)/2+'4-17'!H53,0)</f>
        <v>267064</v>
      </c>
      <c r="I53" s="22"/>
      <c r="J53" s="21">
        <f>ROUNDUP(('4-19'!J53-'4-17'!J53)/2+'4-17'!J53,0)</f>
        <v>159027</v>
      </c>
      <c r="K53" s="22"/>
      <c r="L53" s="21">
        <v>974996</v>
      </c>
      <c r="M53" s="24">
        <v>3561.28</v>
      </c>
      <c r="N53" s="19">
        <v>2.31</v>
      </c>
      <c r="O53" s="19">
        <v>11.5</v>
      </c>
      <c r="P53" s="19">
        <v>13</v>
      </c>
      <c r="Q53" s="19">
        <v>25.4</v>
      </c>
    </row>
    <row r="54" spans="1:17" x14ac:dyDescent="0.25">
      <c r="A54" s="19">
        <v>53</v>
      </c>
      <c r="B54" s="19" t="s">
        <v>72</v>
      </c>
      <c r="C54" s="19" t="s">
        <v>17</v>
      </c>
      <c r="D54" s="20">
        <v>44304</v>
      </c>
      <c r="E54" s="19">
        <v>218.41</v>
      </c>
      <c r="F54" s="21">
        <f>ROUNDUP(('4-19'!F54-'4-17'!F54)/2+'4-17'!F54,0)</f>
        <v>134202</v>
      </c>
      <c r="G54" s="22"/>
      <c r="H54" s="21">
        <f>ROUNDUP(('4-19'!H54-'4-17'!H54)/2+'4-17'!H54,0)</f>
        <v>134119</v>
      </c>
      <c r="I54" s="22"/>
      <c r="J54" s="21">
        <f>ROUNDUP(('4-19'!J54-'4-17'!J54)/2+'4-17'!J54,0)</f>
        <v>84707</v>
      </c>
      <c r="K54" s="22"/>
      <c r="L54" s="21">
        <v>724777</v>
      </c>
      <c r="M54" s="19">
        <v>403.21</v>
      </c>
      <c r="N54" s="19">
        <v>2.84</v>
      </c>
      <c r="O54" s="19">
        <v>13.2</v>
      </c>
      <c r="P54" s="19">
        <v>16.600000000000001</v>
      </c>
      <c r="Q54" s="19">
        <v>20.440000000000001</v>
      </c>
    </row>
    <row r="55" spans="1:17" x14ac:dyDescent="0.25">
      <c r="A55" s="19">
        <v>54</v>
      </c>
      <c r="B55" s="19" t="s">
        <v>73</v>
      </c>
      <c r="C55" s="19" t="s">
        <v>17</v>
      </c>
      <c r="D55" s="20">
        <v>44304</v>
      </c>
      <c r="E55" s="19">
        <v>142.24</v>
      </c>
      <c r="F55" s="21">
        <f>ROUNDUP(('4-19'!F55-'4-17'!F55)/2+'4-17'!F55,0)</f>
        <v>11374</v>
      </c>
      <c r="G55" s="23"/>
      <c r="H55" s="21">
        <f>ROUNDUP(('4-19'!H55-'4-17'!H55)/2+'4-17'!H55,0)</f>
        <v>11372</v>
      </c>
      <c r="I55" s="23"/>
      <c r="J55" s="21">
        <f>ROUNDUP(('4-19'!J55-'4-17'!J55)/2+'4-17'!J55,0)</f>
        <v>7933</v>
      </c>
      <c r="K55" s="22"/>
      <c r="L55" s="21">
        <v>74521</v>
      </c>
      <c r="M55" s="19">
        <v>102.38</v>
      </c>
      <c r="N55" s="19">
        <v>2.52</v>
      </c>
      <c r="O55" s="19">
        <v>16</v>
      </c>
      <c r="P55" s="19">
        <v>24.8</v>
      </c>
      <c r="Q55" s="19">
        <v>23.72</v>
      </c>
    </row>
    <row r="56" spans="1:17" x14ac:dyDescent="0.25">
      <c r="A56" s="19">
        <v>55</v>
      </c>
      <c r="B56" s="19" t="s">
        <v>74</v>
      </c>
      <c r="C56" s="19" t="s">
        <v>19</v>
      </c>
      <c r="D56" s="20">
        <v>44304</v>
      </c>
      <c r="E56" s="19">
        <v>51</v>
      </c>
      <c r="F56" s="21">
        <f>ROUNDUP(('4-19'!F56-'4-17'!F56)/2+'4-17'!F56,0)</f>
        <v>34972</v>
      </c>
      <c r="G56" s="22"/>
      <c r="H56" s="21">
        <f>ROUNDUP(('4-19'!H56-'4-17'!H56)/2+'4-17'!H56,0)</f>
        <v>34936</v>
      </c>
      <c r="I56" s="23"/>
      <c r="J56" s="21">
        <f>ROUNDUP(('4-19'!J56-'4-17'!J56)/2+'4-17'!J56,0)</f>
        <v>19863</v>
      </c>
      <c r="K56" s="22"/>
      <c r="L56" s="21">
        <v>184313</v>
      </c>
      <c r="M56" s="19">
        <v>182.06</v>
      </c>
      <c r="N56" s="19">
        <v>2.68</v>
      </c>
      <c r="O56" s="19">
        <v>10</v>
      </c>
      <c r="P56" s="19">
        <v>9.8000000000000007</v>
      </c>
      <c r="Q56" s="19">
        <v>16.34</v>
      </c>
    </row>
    <row r="57" spans="1:17" x14ac:dyDescent="0.25">
      <c r="A57" s="19">
        <v>56</v>
      </c>
      <c r="B57" s="19" t="s">
        <v>75</v>
      </c>
      <c r="C57" s="19" t="s">
        <v>17</v>
      </c>
      <c r="D57" s="20">
        <v>44304</v>
      </c>
      <c r="E57" s="19">
        <v>174.07</v>
      </c>
      <c r="F57" s="21">
        <f>ROUNDUP(('4-19'!F57-'4-17'!F57)/2+'4-17'!F57,0)</f>
        <v>141653</v>
      </c>
      <c r="G57" s="22"/>
      <c r="H57" s="21">
        <f>ROUNDUP(('4-19'!H57-'4-17'!H57)/2+'4-17'!H57,0)</f>
        <v>141587</v>
      </c>
      <c r="I57" s="22"/>
      <c r="J57" s="21">
        <f>ROUNDUP(('4-19'!J57-'4-17'!J57)/2+'4-17'!J57,0)</f>
        <v>110222</v>
      </c>
      <c r="K57" s="22"/>
      <c r="L57" s="21">
        <v>433742</v>
      </c>
      <c r="M57" s="19">
        <v>780.13</v>
      </c>
      <c r="N57" s="19">
        <v>2.25</v>
      </c>
      <c r="O57" s="19">
        <v>11.4</v>
      </c>
      <c r="P57" s="19">
        <v>9.6999999999999993</v>
      </c>
      <c r="Q57" s="19">
        <v>37.340000000000003</v>
      </c>
    </row>
    <row r="58" spans="1:17" x14ac:dyDescent="0.25">
      <c r="A58" s="19">
        <v>57</v>
      </c>
      <c r="B58" s="19" t="s">
        <v>76</v>
      </c>
      <c r="C58" s="19" t="s">
        <v>17</v>
      </c>
      <c r="D58" s="20">
        <v>44304</v>
      </c>
      <c r="E58" s="19">
        <v>198.8</v>
      </c>
      <c r="F58" s="21">
        <f>ROUNDUP(('4-19'!F58-'4-17'!F58)/2+'4-17'!F58,0)</f>
        <v>95894</v>
      </c>
      <c r="G58" s="23"/>
      <c r="H58" s="21">
        <f>ROUNDUP(('4-19'!H58-'4-17'!H58)/2+'4-17'!H58,0)</f>
        <v>95743</v>
      </c>
      <c r="I58" s="22"/>
      <c r="J58" s="21">
        <f>ROUNDUP(('4-19'!J58-'4-17'!J58)/2+'4-17'!J58,0)</f>
        <v>47375</v>
      </c>
      <c r="K58" s="22"/>
      <c r="L58" s="21">
        <v>471826</v>
      </c>
      <c r="M58" s="24">
        <v>1525.34</v>
      </c>
      <c r="N58" s="19">
        <v>2.7</v>
      </c>
      <c r="O58" s="19">
        <v>10.4</v>
      </c>
      <c r="P58" s="19">
        <v>11.4</v>
      </c>
      <c r="Q58" s="19">
        <v>15.98</v>
      </c>
    </row>
    <row r="59" spans="1:17" x14ac:dyDescent="0.25">
      <c r="A59" s="19">
        <v>58</v>
      </c>
      <c r="B59" s="19" t="s">
        <v>77</v>
      </c>
      <c r="C59" s="19" t="s">
        <v>17</v>
      </c>
      <c r="D59" s="20">
        <v>44304</v>
      </c>
      <c r="E59" s="19">
        <v>113.73</v>
      </c>
      <c r="F59" s="21">
        <f>ROUNDUP(('4-19'!F59-'4-17'!F59)/2+'4-17'!F59,0)</f>
        <v>82877</v>
      </c>
      <c r="G59" s="22"/>
      <c r="H59" s="21">
        <f>ROUNDUP(('4-19'!H59-'4-17'!H59)/2+'4-17'!H59,0)</f>
        <v>82742</v>
      </c>
      <c r="I59" s="22"/>
      <c r="J59" s="21">
        <f>ROUNDUP(('4-19'!J59-'4-17'!J59)/2+'4-17'!J59,0)</f>
        <v>45409</v>
      </c>
      <c r="K59" s="22"/>
      <c r="L59" s="21">
        <v>264672</v>
      </c>
      <c r="M59" s="19">
        <v>440.71</v>
      </c>
      <c r="N59" s="19">
        <v>2.7</v>
      </c>
      <c r="O59" s="19">
        <v>8.4</v>
      </c>
      <c r="P59" s="19">
        <v>8.4</v>
      </c>
      <c r="Q59" s="19">
        <v>20.65</v>
      </c>
    </row>
    <row r="60" spans="1:17" x14ac:dyDescent="0.25">
      <c r="A60" s="19">
        <v>59</v>
      </c>
      <c r="B60" s="19" t="s">
        <v>78</v>
      </c>
      <c r="C60" s="19" t="s">
        <v>17</v>
      </c>
      <c r="D60" s="20">
        <v>44304</v>
      </c>
      <c r="E60" s="19">
        <v>151.69</v>
      </c>
      <c r="F60" s="21">
        <f>ROUNDUP(('4-19'!F60-'4-17'!F60)/2+'4-17'!F60,0)</f>
        <v>68581</v>
      </c>
      <c r="G60" s="22"/>
      <c r="H60" s="21">
        <f>ROUNDUP(('4-19'!H60-'4-17'!H60)/2+'4-17'!H60,0)</f>
        <v>68563</v>
      </c>
      <c r="I60" s="22"/>
      <c r="J60" s="21">
        <f>ROUNDUP(('4-19'!J60-'4-17'!J60)/2+'4-17'!J60,0)</f>
        <v>47929</v>
      </c>
      <c r="K60" s="23"/>
      <c r="L60" s="21">
        <v>328297</v>
      </c>
      <c r="M60" s="19">
        <v>574.29999999999995</v>
      </c>
      <c r="N60" s="19">
        <v>2.68</v>
      </c>
      <c r="O60" s="19">
        <v>14</v>
      </c>
      <c r="P60" s="19">
        <v>15</v>
      </c>
      <c r="Q60" s="19">
        <v>24.65</v>
      </c>
    </row>
    <row r="61" spans="1:17" x14ac:dyDescent="0.25">
      <c r="A61" s="19">
        <v>60</v>
      </c>
      <c r="B61" s="19" t="s">
        <v>79</v>
      </c>
      <c r="C61" s="19" t="s">
        <v>19</v>
      </c>
      <c r="D61" s="20">
        <v>44304</v>
      </c>
      <c r="E61" s="19">
        <v>94.4</v>
      </c>
      <c r="F61" s="21">
        <f>ROUNDUP(('4-19'!F61-'4-17'!F61)/2+'4-17'!F61,0)</f>
        <v>70065</v>
      </c>
      <c r="G61" s="22"/>
      <c r="H61" s="21">
        <f>ROUNDUP(('4-19'!H61-'4-17'!H61)/2+'4-17'!H61,0)</f>
        <v>70056</v>
      </c>
      <c r="I61" s="22"/>
      <c r="J61" s="21">
        <f>ROUNDUP(('4-19'!J61-'4-17'!J61)/2+'4-17'!J61,0)</f>
        <v>61406</v>
      </c>
      <c r="K61" s="22"/>
      <c r="L61" s="21">
        <v>132420</v>
      </c>
      <c r="M61" s="19">
        <v>237.68</v>
      </c>
      <c r="N61" s="19">
        <v>2.04</v>
      </c>
      <c r="O61" s="19">
        <v>6.2</v>
      </c>
      <c r="P61" s="19">
        <v>8.8000000000000007</v>
      </c>
      <c r="Q61" s="19">
        <v>58.17</v>
      </c>
    </row>
    <row r="62" spans="1:17" x14ac:dyDescent="0.25">
      <c r="A62" s="19">
        <v>61</v>
      </c>
      <c r="B62" s="19" t="s">
        <v>80</v>
      </c>
      <c r="C62" s="19" t="s">
        <v>19</v>
      </c>
      <c r="D62" s="20">
        <v>44304</v>
      </c>
      <c r="E62" s="19">
        <v>58.54</v>
      </c>
      <c r="F62" s="21">
        <f>ROUNDUP(('4-19'!F62-'4-17'!F62)/2+'4-17'!F62,0)</f>
        <v>7256</v>
      </c>
      <c r="G62" s="22"/>
      <c r="H62" s="21">
        <f>ROUNDUP(('4-19'!H62-'4-17'!H62)/2+'4-17'!H62,0)</f>
        <v>7254</v>
      </c>
      <c r="I62" s="22"/>
      <c r="J62" s="21">
        <f>ROUNDUP(('4-19'!J62-'4-17'!J62)/2+'4-17'!J62,0)</f>
        <v>5186</v>
      </c>
      <c r="K62" s="22"/>
      <c r="L62" s="21">
        <v>44417</v>
      </c>
      <c r="M62" s="19">
        <v>64.510000000000005</v>
      </c>
      <c r="N62" s="19">
        <v>2.81</v>
      </c>
      <c r="O62" s="19">
        <v>13.9</v>
      </c>
      <c r="P62" s="19">
        <v>17.8</v>
      </c>
      <c r="Q62" s="19">
        <v>21.73</v>
      </c>
    </row>
    <row r="63" spans="1:17" x14ac:dyDescent="0.25">
      <c r="A63" s="19">
        <v>62</v>
      </c>
      <c r="B63" s="19" t="s">
        <v>81</v>
      </c>
      <c r="C63" s="19" t="s">
        <v>25</v>
      </c>
      <c r="D63" s="20">
        <v>44304</v>
      </c>
      <c r="E63" s="19" t="s">
        <v>26</v>
      </c>
      <c r="F63" s="21">
        <f>ROUNDUP(('4-19'!F63-'4-17'!F63)/2+'4-17'!F63,0)</f>
        <v>3304</v>
      </c>
      <c r="G63" s="22"/>
      <c r="H63" s="21">
        <f>ROUNDUP(('4-19'!H63-'4-17'!H63)/2+'4-17'!H63,0)</f>
        <v>3303</v>
      </c>
      <c r="I63" s="23"/>
      <c r="J63" s="21">
        <f>ROUNDUP(('4-19'!J63-'4-17'!J63)/2+'4-17'!J63,0)</f>
        <v>2286</v>
      </c>
      <c r="K63" s="22"/>
      <c r="L63" s="21">
        <v>21569</v>
      </c>
      <c r="M63" s="19">
        <v>20.67</v>
      </c>
      <c r="N63" s="19">
        <v>2.4700000000000002</v>
      </c>
      <c r="O63" s="19">
        <v>10.9</v>
      </c>
      <c r="P63" s="19">
        <v>19.8</v>
      </c>
      <c r="Q63" s="19">
        <v>20.98</v>
      </c>
    </row>
    <row r="64" spans="1:17" x14ac:dyDescent="0.25">
      <c r="A64" s="19">
        <v>63</v>
      </c>
      <c r="B64" s="19" t="s">
        <v>82</v>
      </c>
      <c r="C64" s="19" t="s">
        <v>19</v>
      </c>
      <c r="D64" s="20">
        <v>44304</v>
      </c>
      <c r="E64" s="19">
        <v>78.760000000000005</v>
      </c>
      <c r="F64" s="21">
        <f>ROUNDUP(('4-19'!F64-'4-17'!F64)/2+'4-17'!F64,0)</f>
        <v>1624</v>
      </c>
      <c r="G64" s="22"/>
      <c r="H64" s="21">
        <f>ROUNDUP(('4-19'!H64-'4-17'!H64)/2+'4-17'!H64,0)</f>
        <v>1624</v>
      </c>
      <c r="I64" s="22"/>
      <c r="J64" s="21">
        <f>ROUNDUP(('4-19'!J64-'4-17'!J64)/2+'4-17'!J64,0)</f>
        <v>1100</v>
      </c>
      <c r="K64" s="22"/>
      <c r="L64" s="21">
        <v>15237</v>
      </c>
      <c r="M64" s="19">
        <v>62.56</v>
      </c>
      <c r="N64" s="19">
        <v>2.5</v>
      </c>
      <c r="O64" s="19">
        <v>12.4</v>
      </c>
      <c r="P64" s="19">
        <v>22</v>
      </c>
      <c r="Q64" s="19">
        <v>15.21</v>
      </c>
    </row>
    <row r="65" spans="1:17" x14ac:dyDescent="0.25">
      <c r="A65" s="19">
        <v>64</v>
      </c>
      <c r="B65" s="19" t="s">
        <v>83</v>
      </c>
      <c r="C65" s="19" t="s">
        <v>17</v>
      </c>
      <c r="D65" s="20">
        <v>44304</v>
      </c>
      <c r="E65" s="19">
        <v>217.43</v>
      </c>
      <c r="F65" s="21">
        <f>ROUNDUP(('4-19'!F65-'4-17'!F65)/2+'4-17'!F65,0)</f>
        <v>129794</v>
      </c>
      <c r="G65" s="22"/>
      <c r="H65" s="21">
        <f>ROUNDUP(('4-19'!H65-'4-17'!H65)/2+'4-17'!H65,0)</f>
        <v>129751</v>
      </c>
      <c r="I65" s="22"/>
      <c r="J65" s="21">
        <f>ROUNDUP(('4-19'!J65-'4-17'!J65)/2+'4-17'!J65,0)</f>
        <v>88549</v>
      </c>
      <c r="K65" s="22"/>
      <c r="L65" s="21">
        <v>553284</v>
      </c>
      <c r="M65" s="19">
        <v>502.42</v>
      </c>
      <c r="N65" s="19">
        <v>2.4300000000000002</v>
      </c>
      <c r="O65" s="19">
        <v>12.5</v>
      </c>
      <c r="P65" s="19">
        <v>15.2</v>
      </c>
      <c r="Q65" s="19">
        <v>24.91</v>
      </c>
    </row>
    <row r="66" spans="1:17" x14ac:dyDescent="0.25">
      <c r="A66" s="19">
        <v>65</v>
      </c>
      <c r="B66" s="19" t="s">
        <v>84</v>
      </c>
      <c r="C66" s="19" t="s">
        <v>17</v>
      </c>
      <c r="D66" s="20">
        <v>44304</v>
      </c>
      <c r="E66" s="19">
        <v>124.49</v>
      </c>
      <c r="F66" s="21">
        <f>ROUNDUP(('4-19'!F66-'4-17'!F66)/2+'4-17'!F66,0)</f>
        <v>6415</v>
      </c>
      <c r="G66" s="22"/>
      <c r="H66" s="21">
        <f>ROUNDUP(('4-19'!H66-'4-17'!H66)/2+'4-17'!H66,0)</f>
        <v>6410</v>
      </c>
      <c r="I66" s="22"/>
      <c r="J66" s="21">
        <f>ROUNDUP(('4-19'!J66-'4-17'!J66)/2+'4-17'!J66,0)</f>
        <v>3872</v>
      </c>
      <c r="K66" s="23"/>
      <c r="L66" s="21">
        <v>33739</v>
      </c>
      <c r="M66" s="19">
        <v>55.64</v>
      </c>
      <c r="N66" s="19">
        <v>2.56</v>
      </c>
      <c r="O66" s="19">
        <v>9</v>
      </c>
      <c r="P66" s="19">
        <v>11.5</v>
      </c>
      <c r="Q66" s="19">
        <v>15.9</v>
      </c>
    </row>
    <row r="67" spans="1:17" x14ac:dyDescent="0.25">
      <c r="A67" s="19">
        <v>66</v>
      </c>
      <c r="B67" s="19" t="s">
        <v>85</v>
      </c>
      <c r="C67" s="19" t="s">
        <v>17</v>
      </c>
      <c r="D67" s="20">
        <v>44304</v>
      </c>
      <c r="E67" s="19">
        <v>203.86</v>
      </c>
      <c r="F67" s="21">
        <f>ROUNDUP(('4-19'!F67-'4-17'!F67)/2+'4-17'!F67,0)</f>
        <v>14079</v>
      </c>
      <c r="G67" s="22"/>
      <c r="H67" s="21">
        <f>ROUNDUP(('4-19'!H67-'4-17'!H67)/2+'4-17'!H67,0)</f>
        <v>14075</v>
      </c>
      <c r="I67" s="22"/>
      <c r="J67" s="21">
        <f>ROUNDUP(('4-19'!J67-'4-17'!J67)/2+'4-17'!J67,0)</f>
        <v>8904</v>
      </c>
      <c r="K67" s="22"/>
      <c r="L67" s="21">
        <v>74071</v>
      </c>
      <c r="M67" s="19">
        <v>71.38</v>
      </c>
      <c r="N67" s="19">
        <v>2.42</v>
      </c>
      <c r="O67" s="19">
        <v>13.5</v>
      </c>
      <c r="P67" s="19">
        <v>14.7</v>
      </c>
      <c r="Q67" s="19">
        <v>20.22</v>
      </c>
    </row>
    <row r="68" spans="1:17" x14ac:dyDescent="0.25">
      <c r="A68" s="19">
        <v>67</v>
      </c>
      <c r="B68" s="19" t="s">
        <v>86</v>
      </c>
      <c r="C68" s="19" t="s">
        <v>19</v>
      </c>
      <c r="D68" s="20">
        <v>44304</v>
      </c>
      <c r="E68" s="19">
        <v>54.96</v>
      </c>
      <c r="F68" s="21">
        <f>ROUNDUP(('4-19'!F68-'4-17'!F68)/2+'4-17'!F68,0)</f>
        <v>3139</v>
      </c>
      <c r="G68" s="22"/>
      <c r="H68" s="21">
        <f>ROUNDUP(('4-19'!H68-'4-17'!H68)/2+'4-17'!H68,0)</f>
        <v>3136</v>
      </c>
      <c r="I68" s="22"/>
      <c r="J68" s="21">
        <f>ROUNDUP(('4-19'!J68-'4-17'!J68)/2+'4-17'!J68,0)</f>
        <v>2005</v>
      </c>
      <c r="K68" s="22"/>
      <c r="L68" s="21">
        <v>25473</v>
      </c>
      <c r="M68" s="19">
        <v>43.57</v>
      </c>
      <c r="N68" s="19">
        <v>2.57</v>
      </c>
      <c r="O68" s="19">
        <v>12.8</v>
      </c>
      <c r="P68" s="19">
        <v>22.4</v>
      </c>
      <c r="Q68" s="19">
        <v>17.2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Q68"/>
  <sheetViews>
    <sheetView workbookViewId="0">
      <selection sqref="A1:Q68"/>
    </sheetView>
  </sheetViews>
  <sheetFormatPr defaultColWidth="9" defaultRowHeight="15.75" x14ac:dyDescent="0.25"/>
  <cols>
    <col min="1" max="1" width="9.5" style="18" customWidth="1"/>
    <col min="2" max="2" width="9.5" style="18" bestFit="1" customWidth="1"/>
    <col min="3" max="3" width="15.875" style="18" bestFit="1" customWidth="1"/>
    <col min="4" max="4" width="10.125" style="18" bestFit="1" customWidth="1"/>
    <col min="5" max="5" width="10.25" style="18" bestFit="1" customWidth="1"/>
    <col min="6" max="6" width="8.125" style="18" bestFit="1" customWidth="1"/>
    <col min="7" max="7" width="13.875" style="18" bestFit="1" customWidth="1"/>
    <col min="8" max="8" width="9.875" style="18" bestFit="1" customWidth="1"/>
    <col min="9" max="9" width="15.625" style="18" bestFit="1" customWidth="1"/>
    <col min="10" max="10" width="9.875" style="18" bestFit="1" customWidth="1"/>
    <col min="11" max="11" width="15.625" style="18" bestFit="1" customWidth="1"/>
    <col min="12" max="12" width="12" style="18" bestFit="1" customWidth="1"/>
    <col min="13" max="13" width="13.75" style="18" bestFit="1" customWidth="1"/>
    <col min="14" max="14" width="9.5" style="18" bestFit="1" customWidth="1"/>
    <col min="15" max="15" width="13.375" style="18" bestFit="1" customWidth="1"/>
    <col min="16" max="16" width="9.125" style="18" bestFit="1" customWidth="1"/>
    <col min="17" max="17" width="6.125" style="18" bestFit="1" customWidth="1"/>
    <col min="18" max="16384" width="9" style="18"/>
  </cols>
  <sheetData>
    <row r="1" spans="1:17" x14ac:dyDescent="0.25">
      <c r="B1" s="19" t="s">
        <v>0</v>
      </c>
      <c r="C1" s="19" t="s">
        <v>1</v>
      </c>
      <c r="D1" s="19" t="s">
        <v>2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19" t="s">
        <v>9</v>
      </c>
      <c r="L1" s="19" t="s">
        <v>10</v>
      </c>
      <c r="M1" s="19" t="s">
        <v>11</v>
      </c>
      <c r="N1" s="19" t="s">
        <v>12</v>
      </c>
      <c r="O1" s="19" t="s">
        <v>13</v>
      </c>
      <c r="P1" s="19" t="s">
        <v>14</v>
      </c>
      <c r="Q1" s="19" t="s">
        <v>15</v>
      </c>
    </row>
    <row r="2" spans="1:17" x14ac:dyDescent="0.25">
      <c r="A2" s="2">
        <v>1</v>
      </c>
      <c r="B2" s="19" t="s">
        <v>16</v>
      </c>
      <c r="C2" s="19" t="s">
        <v>19</v>
      </c>
      <c r="D2" s="20">
        <v>44305</v>
      </c>
      <c r="E2" s="19">
        <v>98.87</v>
      </c>
      <c r="F2" s="21">
        <v>73169</v>
      </c>
      <c r="G2" s="22">
        <v>0.27200000000000002</v>
      </c>
      <c r="H2" s="21">
        <v>73103</v>
      </c>
      <c r="I2" s="22">
        <v>0.33100000000000002</v>
      </c>
      <c r="J2" s="21">
        <v>31020</v>
      </c>
      <c r="K2" s="23">
        <v>0.79</v>
      </c>
      <c r="L2" s="21">
        <v>269043</v>
      </c>
      <c r="M2" s="19">
        <v>307.29000000000002</v>
      </c>
      <c r="N2" s="19">
        <v>2.54</v>
      </c>
      <c r="O2" s="19">
        <v>9.1999999999999993</v>
      </c>
      <c r="P2" s="19">
        <v>21.8</v>
      </c>
      <c r="Q2" s="19">
        <v>14.6</v>
      </c>
    </row>
    <row r="3" spans="1:17" x14ac:dyDescent="0.25">
      <c r="A3" s="2">
        <v>2</v>
      </c>
      <c r="B3" s="19" t="s">
        <v>18</v>
      </c>
      <c r="C3" s="19" t="s">
        <v>19</v>
      </c>
      <c r="D3" s="20">
        <v>44305</v>
      </c>
      <c r="E3" s="19">
        <v>92.43</v>
      </c>
      <c r="F3" s="21">
        <v>3510</v>
      </c>
      <c r="G3" s="23">
        <v>0.12</v>
      </c>
      <c r="H3" s="21">
        <v>3510</v>
      </c>
      <c r="I3" s="22">
        <v>0.158</v>
      </c>
      <c r="J3" s="21">
        <v>2193</v>
      </c>
      <c r="K3" s="22">
        <v>0.53300000000000003</v>
      </c>
      <c r="L3" s="21">
        <v>29210</v>
      </c>
      <c r="M3" s="19">
        <v>49.91</v>
      </c>
      <c r="N3" s="19">
        <v>2.92</v>
      </c>
      <c r="O3" s="19">
        <v>12.5</v>
      </c>
      <c r="P3" s="19">
        <v>14.6</v>
      </c>
      <c r="Q3" s="19">
        <v>14.09</v>
      </c>
    </row>
    <row r="4" spans="1:17" x14ac:dyDescent="0.25">
      <c r="A4" s="2">
        <v>3</v>
      </c>
      <c r="B4" s="19" t="s">
        <v>20</v>
      </c>
      <c r="C4" s="19" t="s">
        <v>19</v>
      </c>
      <c r="D4" s="20">
        <v>44305</v>
      </c>
      <c r="E4" s="19">
        <v>91.01</v>
      </c>
      <c r="F4" s="21">
        <v>36528</v>
      </c>
      <c r="G4" s="22">
        <v>0.20899999999999999</v>
      </c>
      <c r="H4" s="21">
        <v>36506</v>
      </c>
      <c r="I4" s="22">
        <v>0.26300000000000001</v>
      </c>
      <c r="J4" s="21">
        <v>19072</v>
      </c>
      <c r="K4" s="22">
        <v>0.58599999999999997</v>
      </c>
      <c r="L4" s="21">
        <v>174705</v>
      </c>
      <c r="M4" s="19">
        <v>230.3</v>
      </c>
      <c r="N4" s="19">
        <v>2.57</v>
      </c>
      <c r="O4" s="19">
        <v>14.2</v>
      </c>
      <c r="P4" s="19">
        <v>14.7</v>
      </c>
      <c r="Q4" s="19">
        <v>18.62</v>
      </c>
    </row>
    <row r="5" spans="1:17" x14ac:dyDescent="0.25">
      <c r="A5" s="2">
        <v>4</v>
      </c>
      <c r="B5" s="19" t="s">
        <v>21</v>
      </c>
      <c r="C5" s="19" t="s">
        <v>19</v>
      </c>
      <c r="D5" s="20">
        <v>44305</v>
      </c>
      <c r="E5" s="19">
        <v>56.74</v>
      </c>
      <c r="F5" s="21">
        <v>3894</v>
      </c>
      <c r="G5" s="22">
        <v>0.13800000000000001</v>
      </c>
      <c r="H5" s="21">
        <v>3894</v>
      </c>
      <c r="I5" s="22">
        <v>0.17100000000000001</v>
      </c>
      <c r="J5" s="21">
        <v>2541</v>
      </c>
      <c r="K5" s="22">
        <v>0.502</v>
      </c>
      <c r="L5" s="21">
        <v>28201</v>
      </c>
      <c r="M5" s="19">
        <v>95.93</v>
      </c>
      <c r="N5" s="19">
        <v>2.6</v>
      </c>
      <c r="O5" s="19">
        <v>12.4</v>
      </c>
      <c r="P5" s="19">
        <v>20.3</v>
      </c>
      <c r="Q5" s="19">
        <v>17.96</v>
      </c>
    </row>
    <row r="6" spans="1:17" x14ac:dyDescent="0.25">
      <c r="A6" s="2">
        <v>5</v>
      </c>
      <c r="B6" s="19" t="s">
        <v>22</v>
      </c>
      <c r="C6" s="19" t="s">
        <v>17</v>
      </c>
      <c r="D6" s="20">
        <v>44305</v>
      </c>
      <c r="E6" s="19">
        <v>146.53</v>
      </c>
      <c r="F6" s="21">
        <v>145030</v>
      </c>
      <c r="G6" s="22">
        <v>0.24099999999999999</v>
      </c>
      <c r="H6" s="21">
        <v>144954</v>
      </c>
      <c r="I6" s="22">
        <v>0.29399999999999998</v>
      </c>
      <c r="J6" s="21">
        <v>90819</v>
      </c>
      <c r="K6" s="22">
        <v>0.623</v>
      </c>
      <c r="L6" s="21">
        <v>601942</v>
      </c>
      <c r="M6" s="19">
        <v>593.05999999999995</v>
      </c>
      <c r="N6" s="19">
        <v>2.4900000000000002</v>
      </c>
      <c r="O6" s="19">
        <v>10.8</v>
      </c>
      <c r="P6" s="19">
        <v>12.7</v>
      </c>
      <c r="Q6" s="19">
        <v>24.21</v>
      </c>
    </row>
    <row r="7" spans="1:17" x14ac:dyDescent="0.25">
      <c r="A7" s="2">
        <v>6</v>
      </c>
      <c r="B7" s="19" t="s">
        <v>23</v>
      </c>
      <c r="C7" s="19" t="s">
        <v>17</v>
      </c>
      <c r="D7" s="20">
        <v>44305</v>
      </c>
      <c r="E7" s="19">
        <v>271.05</v>
      </c>
      <c r="F7" s="21">
        <v>460059</v>
      </c>
      <c r="G7" s="22">
        <v>0.23599999999999999</v>
      </c>
      <c r="H7" s="21">
        <v>459165</v>
      </c>
      <c r="I7" s="22">
        <v>0.29799999999999999</v>
      </c>
      <c r="J7" s="21">
        <v>218006</v>
      </c>
      <c r="K7" s="22">
        <v>0.65200000000000002</v>
      </c>
      <c r="L7" s="21">
        <v>1952778</v>
      </c>
      <c r="M7" s="24">
        <v>1623.5</v>
      </c>
      <c r="N7" s="19">
        <v>2.77</v>
      </c>
      <c r="O7" s="19">
        <v>14.6</v>
      </c>
      <c r="P7" s="19">
        <v>13.5</v>
      </c>
      <c r="Q7" s="19">
        <v>17.13</v>
      </c>
    </row>
    <row r="8" spans="1:17" x14ac:dyDescent="0.25">
      <c r="A8" s="2">
        <v>7</v>
      </c>
      <c r="B8" s="19" t="s">
        <v>24</v>
      </c>
      <c r="C8" s="19" t="s">
        <v>25</v>
      </c>
      <c r="D8" s="20">
        <v>44305</v>
      </c>
      <c r="E8" s="19" t="s">
        <v>26</v>
      </c>
      <c r="F8" s="21">
        <v>2100</v>
      </c>
      <c r="G8" s="22">
        <v>0.14899999999999999</v>
      </c>
      <c r="H8" s="21">
        <v>2100</v>
      </c>
      <c r="I8" s="22">
        <v>0.186</v>
      </c>
      <c r="J8" s="21">
        <v>1396</v>
      </c>
      <c r="K8" s="22">
        <v>0.52300000000000002</v>
      </c>
      <c r="L8" s="21">
        <v>14105</v>
      </c>
      <c r="M8" s="19">
        <v>24.86</v>
      </c>
      <c r="N8" s="19">
        <v>2.73</v>
      </c>
      <c r="O8" s="19">
        <v>18.3</v>
      </c>
      <c r="P8" s="19">
        <v>12.2</v>
      </c>
      <c r="Q8" s="19">
        <v>18.93</v>
      </c>
    </row>
    <row r="9" spans="1:17" x14ac:dyDescent="0.25">
      <c r="A9" s="2">
        <v>8</v>
      </c>
      <c r="B9" s="19" t="s">
        <v>27</v>
      </c>
      <c r="C9" s="19" t="s">
        <v>17</v>
      </c>
      <c r="D9" s="20">
        <v>44305</v>
      </c>
      <c r="E9" s="19">
        <v>139.22</v>
      </c>
      <c r="F9" s="21">
        <v>63858</v>
      </c>
      <c r="G9" s="22">
        <v>0.33800000000000002</v>
      </c>
      <c r="H9" s="21">
        <v>63832</v>
      </c>
      <c r="I9" s="22">
        <v>0.38300000000000001</v>
      </c>
      <c r="J9" s="21">
        <v>50877</v>
      </c>
      <c r="K9" s="23">
        <v>0.66</v>
      </c>
      <c r="L9" s="21">
        <v>188910</v>
      </c>
      <c r="M9" s="19">
        <v>277.36</v>
      </c>
      <c r="N9" s="19">
        <v>2.2799999999999998</v>
      </c>
      <c r="O9" s="19">
        <v>11.3</v>
      </c>
      <c r="P9" s="19">
        <v>11.1</v>
      </c>
      <c r="Q9" s="19">
        <v>40.799999999999997</v>
      </c>
    </row>
    <row r="10" spans="1:17" x14ac:dyDescent="0.25">
      <c r="A10" s="2">
        <v>9</v>
      </c>
      <c r="B10" s="19" t="s">
        <v>28</v>
      </c>
      <c r="C10" s="19" t="s">
        <v>17</v>
      </c>
      <c r="D10" s="20">
        <v>44305</v>
      </c>
      <c r="E10" s="19">
        <v>105.57</v>
      </c>
      <c r="F10" s="21">
        <v>40801</v>
      </c>
      <c r="G10" s="22">
        <v>0.27300000000000002</v>
      </c>
      <c r="H10" s="21">
        <v>40795</v>
      </c>
      <c r="I10" s="23">
        <v>0.32</v>
      </c>
      <c r="J10" s="21">
        <v>32959</v>
      </c>
      <c r="K10" s="23">
        <v>0.6</v>
      </c>
      <c r="L10" s="21">
        <v>149657</v>
      </c>
      <c r="M10" s="19">
        <v>257.18</v>
      </c>
      <c r="N10" s="19">
        <v>2.2400000000000002</v>
      </c>
      <c r="O10" s="19">
        <v>10.4</v>
      </c>
      <c r="P10" s="19">
        <v>16.7</v>
      </c>
      <c r="Q10" s="19">
        <v>36.71</v>
      </c>
    </row>
    <row r="11" spans="1:17" x14ac:dyDescent="0.25">
      <c r="A11" s="2">
        <v>10</v>
      </c>
      <c r="B11" s="19" t="s">
        <v>29</v>
      </c>
      <c r="C11" s="19" t="s">
        <v>17</v>
      </c>
      <c r="D11" s="20">
        <v>44305</v>
      </c>
      <c r="E11" s="19">
        <v>120.87</v>
      </c>
      <c r="F11" s="21">
        <v>38916</v>
      </c>
      <c r="G11" s="22">
        <v>0.17699999999999999</v>
      </c>
      <c r="H11" s="21">
        <v>38881</v>
      </c>
      <c r="I11" s="23">
        <v>0.23</v>
      </c>
      <c r="J11" s="21">
        <v>20559</v>
      </c>
      <c r="K11" s="22">
        <v>0.57399999999999995</v>
      </c>
      <c r="L11" s="21">
        <v>219252</v>
      </c>
      <c r="M11" s="19">
        <v>362.63</v>
      </c>
      <c r="N11" s="19">
        <v>2.81</v>
      </c>
      <c r="O11" s="19">
        <v>10.4</v>
      </c>
      <c r="P11" s="19">
        <v>10.6</v>
      </c>
      <c r="Q11" s="19">
        <v>16.350000000000001</v>
      </c>
    </row>
    <row r="12" spans="1:17" x14ac:dyDescent="0.25">
      <c r="A12" s="2">
        <v>11</v>
      </c>
      <c r="B12" s="19" t="s">
        <v>30</v>
      </c>
      <c r="C12" s="19" t="s">
        <v>17</v>
      </c>
      <c r="D12" s="20">
        <v>44305</v>
      </c>
      <c r="E12" s="19">
        <v>175.37</v>
      </c>
      <c r="F12" s="21">
        <v>119078</v>
      </c>
      <c r="G12" s="22">
        <v>0.309</v>
      </c>
      <c r="H12" s="21">
        <v>119043</v>
      </c>
      <c r="I12" s="22">
        <v>0.372</v>
      </c>
      <c r="J12" s="21">
        <v>90947</v>
      </c>
      <c r="K12" s="22">
        <v>0.71799999999999997</v>
      </c>
      <c r="L12" s="21">
        <v>384902</v>
      </c>
      <c r="M12" s="19">
        <v>192.75</v>
      </c>
      <c r="N12" s="19">
        <v>2.5499999999999998</v>
      </c>
      <c r="O12" s="19">
        <v>16.5</v>
      </c>
      <c r="P12" s="19">
        <v>12.3</v>
      </c>
      <c r="Q12" s="19">
        <v>32.92</v>
      </c>
    </row>
    <row r="13" spans="1:17" x14ac:dyDescent="0.25">
      <c r="A13" s="2">
        <v>12</v>
      </c>
      <c r="B13" s="19" t="s">
        <v>31</v>
      </c>
      <c r="C13" s="19" t="s">
        <v>19</v>
      </c>
      <c r="D13" s="20">
        <v>44305</v>
      </c>
      <c r="E13" s="19">
        <v>79.510000000000005</v>
      </c>
      <c r="F13" s="21">
        <v>12310</v>
      </c>
      <c r="G13" s="22">
        <v>0.17199999999999999</v>
      </c>
      <c r="H13" s="21">
        <v>12307</v>
      </c>
      <c r="I13" s="22">
        <v>0.219</v>
      </c>
      <c r="J13" s="21">
        <v>7695</v>
      </c>
      <c r="K13" s="22">
        <v>0.55700000000000005</v>
      </c>
      <c r="L13" s="21">
        <v>71686</v>
      </c>
      <c r="M13" s="19">
        <v>89.88</v>
      </c>
      <c r="N13" s="19">
        <v>2.57</v>
      </c>
      <c r="O13" s="19">
        <v>12.4</v>
      </c>
      <c r="P13" s="19">
        <v>17.399999999999999</v>
      </c>
      <c r="Q13" s="19">
        <v>19.260000000000002</v>
      </c>
    </row>
    <row r="14" spans="1:17" x14ac:dyDescent="0.25">
      <c r="A14" s="2">
        <v>13</v>
      </c>
      <c r="B14" s="19" t="s">
        <v>32</v>
      </c>
      <c r="C14" s="19" t="s">
        <v>17</v>
      </c>
      <c r="D14" s="20">
        <v>44305</v>
      </c>
      <c r="E14" s="19">
        <v>155.26</v>
      </c>
      <c r="F14" s="21">
        <v>6115</v>
      </c>
      <c r="G14" s="22">
        <v>0.161</v>
      </c>
      <c r="H14" s="21">
        <v>6115</v>
      </c>
      <c r="I14" s="22">
        <v>0.19800000000000001</v>
      </c>
      <c r="J14" s="21">
        <v>4543</v>
      </c>
      <c r="K14" s="22">
        <v>0.53100000000000003</v>
      </c>
      <c r="L14" s="21">
        <v>38001</v>
      </c>
      <c r="M14" s="19">
        <v>59.68</v>
      </c>
      <c r="N14" s="19">
        <v>2.74</v>
      </c>
      <c r="O14" s="19">
        <v>18.399999999999999</v>
      </c>
      <c r="P14" s="19">
        <v>28.5</v>
      </c>
      <c r="Q14" s="19">
        <v>22.52</v>
      </c>
    </row>
    <row r="15" spans="1:17" x14ac:dyDescent="0.25">
      <c r="A15" s="2">
        <v>14</v>
      </c>
      <c r="B15" s="19" t="s">
        <v>33</v>
      </c>
      <c r="C15" s="19" t="s">
        <v>19</v>
      </c>
      <c r="D15" s="20">
        <v>44305</v>
      </c>
      <c r="E15" s="19">
        <v>83.2</v>
      </c>
      <c r="F15" s="21">
        <v>2435</v>
      </c>
      <c r="G15" s="22">
        <v>0.14499999999999999</v>
      </c>
      <c r="H15" s="21">
        <v>2435</v>
      </c>
      <c r="I15" s="22">
        <v>0.17699999999999999</v>
      </c>
      <c r="J15" s="21">
        <v>1857</v>
      </c>
      <c r="K15" s="22">
        <v>0.46600000000000003</v>
      </c>
      <c r="L15" s="21">
        <v>16826</v>
      </c>
      <c r="M15" s="19">
        <v>23.86</v>
      </c>
      <c r="N15" s="19">
        <v>2.2799999999999998</v>
      </c>
      <c r="O15" s="19">
        <v>17.2</v>
      </c>
      <c r="P15" s="19">
        <v>23.1</v>
      </c>
      <c r="Q15" s="19">
        <v>23.68</v>
      </c>
    </row>
    <row r="16" spans="1:17" x14ac:dyDescent="0.25">
      <c r="A16" s="2">
        <v>15</v>
      </c>
      <c r="B16" s="19" t="s">
        <v>34</v>
      </c>
      <c r="C16" s="19" t="s">
        <v>17</v>
      </c>
      <c r="D16" s="20">
        <v>44305</v>
      </c>
      <c r="E16" s="19">
        <v>122.89</v>
      </c>
      <c r="F16" s="21">
        <v>224710</v>
      </c>
      <c r="G16" s="22">
        <v>0.23499999999999999</v>
      </c>
      <c r="H16" s="21">
        <v>224473</v>
      </c>
      <c r="I16" s="22">
        <v>0.30299999999999999</v>
      </c>
      <c r="J16" s="21">
        <v>97049</v>
      </c>
      <c r="K16" s="23">
        <v>0.7</v>
      </c>
      <c r="L16" s="21">
        <v>957755</v>
      </c>
      <c r="M16" s="24">
        <v>1255.8599999999999</v>
      </c>
      <c r="N16" s="19">
        <v>2.5499999999999998</v>
      </c>
      <c r="O16" s="19">
        <v>12</v>
      </c>
      <c r="P16" s="19">
        <v>15.5</v>
      </c>
      <c r="Q16" s="19">
        <v>14.47</v>
      </c>
    </row>
    <row r="17" spans="1:17" x14ac:dyDescent="0.25">
      <c r="A17" s="2">
        <v>16</v>
      </c>
      <c r="B17" s="19" t="s">
        <v>35</v>
      </c>
      <c r="C17" s="19" t="s">
        <v>19</v>
      </c>
      <c r="D17" s="20">
        <v>44305</v>
      </c>
      <c r="E17" s="19">
        <v>83.88</v>
      </c>
      <c r="F17" s="21">
        <v>69139</v>
      </c>
      <c r="G17" s="22">
        <v>0.217</v>
      </c>
      <c r="H17" s="21">
        <v>69104</v>
      </c>
      <c r="I17" s="22">
        <v>0.27400000000000002</v>
      </c>
      <c r="J17" s="21">
        <v>35525</v>
      </c>
      <c r="K17" s="22">
        <v>0.65100000000000002</v>
      </c>
      <c r="L17" s="21">
        <v>318316</v>
      </c>
      <c r="M17" s="19">
        <v>484.52</v>
      </c>
      <c r="N17" s="19">
        <v>2.4700000000000002</v>
      </c>
      <c r="O17" s="19">
        <v>10.199999999999999</v>
      </c>
      <c r="P17" s="19">
        <v>13.9</v>
      </c>
      <c r="Q17" s="19">
        <v>17.14</v>
      </c>
    </row>
    <row r="18" spans="1:17" x14ac:dyDescent="0.25">
      <c r="A18" s="2">
        <v>17</v>
      </c>
      <c r="B18" s="19" t="s">
        <v>36</v>
      </c>
      <c r="C18" s="19" t="s">
        <v>17</v>
      </c>
      <c r="D18" s="20">
        <v>44305</v>
      </c>
      <c r="E18" s="19">
        <v>121.65</v>
      </c>
      <c r="F18" s="21">
        <v>33680</v>
      </c>
      <c r="G18" s="22">
        <v>0.29299999999999998</v>
      </c>
      <c r="H18" s="21">
        <v>33670</v>
      </c>
      <c r="I18" s="22">
        <v>0.35099999999999998</v>
      </c>
      <c r="J18" s="21">
        <v>24681</v>
      </c>
      <c r="K18" s="22">
        <v>0.68799999999999994</v>
      </c>
      <c r="L18" s="21">
        <v>115081</v>
      </c>
      <c r="M18" s="19">
        <v>237.21</v>
      </c>
      <c r="N18" s="19">
        <v>2.62</v>
      </c>
      <c r="O18" s="19">
        <v>12.7</v>
      </c>
      <c r="P18" s="19">
        <v>11.9</v>
      </c>
      <c r="Q18" s="19">
        <v>31.19</v>
      </c>
    </row>
    <row r="19" spans="1:17" x14ac:dyDescent="0.25">
      <c r="A19" s="2">
        <v>18</v>
      </c>
      <c r="B19" s="19" t="s">
        <v>37</v>
      </c>
      <c r="C19" s="19" t="s">
        <v>17</v>
      </c>
      <c r="D19" s="20">
        <v>44305</v>
      </c>
      <c r="E19" s="19" t="s">
        <v>26</v>
      </c>
      <c r="F19" s="21">
        <v>2928</v>
      </c>
      <c r="G19" s="22">
        <v>0.24099999999999999</v>
      </c>
      <c r="H19" s="21">
        <v>2928</v>
      </c>
      <c r="I19" s="22">
        <v>0.28499999999999998</v>
      </c>
      <c r="J19" s="21">
        <v>2060</v>
      </c>
      <c r="K19" s="22">
        <v>0.70399999999999996</v>
      </c>
      <c r="L19" s="21">
        <v>12125</v>
      </c>
      <c r="M19" s="19">
        <v>22.24</v>
      </c>
      <c r="N19" s="19">
        <v>2.35</v>
      </c>
      <c r="O19" s="19">
        <v>18.3</v>
      </c>
      <c r="P19" s="19">
        <v>20.7</v>
      </c>
      <c r="Q19" s="19">
        <v>24.13</v>
      </c>
    </row>
    <row r="20" spans="1:17" x14ac:dyDescent="0.25">
      <c r="A20" s="2">
        <v>19</v>
      </c>
      <c r="B20" s="19" t="s">
        <v>38</v>
      </c>
      <c r="C20" s="19" t="s">
        <v>25</v>
      </c>
      <c r="D20" s="20">
        <v>44305</v>
      </c>
      <c r="E20" s="19">
        <v>43.8</v>
      </c>
      <c r="F20" s="21">
        <v>11413</v>
      </c>
      <c r="G20" s="23">
        <v>0.25</v>
      </c>
      <c r="H20" s="21">
        <v>11407</v>
      </c>
      <c r="I20" s="22">
        <v>0.31900000000000001</v>
      </c>
      <c r="J20" s="21">
        <v>5948</v>
      </c>
      <c r="K20" s="22">
        <v>0.69599999999999995</v>
      </c>
      <c r="L20" s="21">
        <v>45660</v>
      </c>
      <c r="M20" s="19">
        <v>88.44</v>
      </c>
      <c r="N20" s="19">
        <v>2.4700000000000002</v>
      </c>
      <c r="O20" s="19">
        <v>14.9</v>
      </c>
      <c r="P20" s="19">
        <v>24.6</v>
      </c>
      <c r="Q20" s="19">
        <v>18.7</v>
      </c>
    </row>
    <row r="21" spans="1:17" x14ac:dyDescent="0.25">
      <c r="A21" s="2">
        <v>20</v>
      </c>
      <c r="B21" s="19" t="s">
        <v>39</v>
      </c>
      <c r="C21" s="19" t="s">
        <v>17</v>
      </c>
      <c r="D21" s="20">
        <v>44305</v>
      </c>
      <c r="E21" s="19">
        <v>145.30000000000001</v>
      </c>
      <c r="F21" s="21">
        <v>2764</v>
      </c>
      <c r="G21" s="22">
        <v>0.14899999999999999</v>
      </c>
      <c r="H21" s="21">
        <v>2762</v>
      </c>
      <c r="I21" s="22">
        <v>0.186</v>
      </c>
      <c r="J21" s="21">
        <v>1829</v>
      </c>
      <c r="K21" s="22">
        <v>0.47699999999999998</v>
      </c>
      <c r="L21" s="21">
        <v>18582</v>
      </c>
      <c r="M21" s="19">
        <v>53.14</v>
      </c>
      <c r="N21" s="19">
        <v>2.5</v>
      </c>
      <c r="O21" s="19">
        <v>18.100000000000001</v>
      </c>
      <c r="P21" s="19">
        <v>17.899999999999999</v>
      </c>
      <c r="Q21" s="19">
        <v>20.65</v>
      </c>
    </row>
    <row r="22" spans="1:17" x14ac:dyDescent="0.25">
      <c r="A22" s="2">
        <v>21</v>
      </c>
      <c r="B22" s="19" t="s">
        <v>40</v>
      </c>
      <c r="C22" s="19" t="s">
        <v>19</v>
      </c>
      <c r="D22" s="20">
        <v>44305</v>
      </c>
      <c r="E22" s="19" t="s">
        <v>26</v>
      </c>
      <c r="F22" s="21">
        <v>1780</v>
      </c>
      <c r="G22" s="22">
        <v>0.129</v>
      </c>
      <c r="H22" s="21">
        <v>1780</v>
      </c>
      <c r="I22" s="22">
        <v>0.151</v>
      </c>
      <c r="J22" s="21">
        <v>1328</v>
      </c>
      <c r="K22" s="22">
        <v>0.34899999999999998</v>
      </c>
      <c r="L22" s="21">
        <v>13811</v>
      </c>
      <c r="M22" s="19">
        <v>17.12</v>
      </c>
      <c r="N22" s="19">
        <v>2.71</v>
      </c>
      <c r="O22" s="19">
        <v>19.899999999999999</v>
      </c>
      <c r="P22" s="19">
        <v>17</v>
      </c>
      <c r="Q22" s="19">
        <v>27.57</v>
      </c>
    </row>
    <row r="23" spans="1:17" x14ac:dyDescent="0.25">
      <c r="A23" s="2">
        <v>22</v>
      </c>
      <c r="B23" s="19" t="s">
        <v>41</v>
      </c>
      <c r="C23" s="19" t="s">
        <v>25</v>
      </c>
      <c r="D23" s="20">
        <v>44305</v>
      </c>
      <c r="E23" s="19" t="s">
        <v>26</v>
      </c>
      <c r="F23" s="21">
        <v>3146</v>
      </c>
      <c r="G23" s="22">
        <v>0.23100000000000001</v>
      </c>
      <c r="H23" s="21">
        <v>3146</v>
      </c>
      <c r="I23" s="22">
        <v>0.28199999999999997</v>
      </c>
      <c r="J23" s="21">
        <v>2302</v>
      </c>
      <c r="K23" s="22">
        <v>0.63700000000000001</v>
      </c>
      <c r="L23" s="21">
        <v>13639</v>
      </c>
      <c r="M23" s="19">
        <v>24.64</v>
      </c>
      <c r="N23" s="19">
        <v>2.5499999999999998</v>
      </c>
      <c r="O23" s="19">
        <v>11.4</v>
      </c>
      <c r="P23" s="19">
        <v>13.9</v>
      </c>
      <c r="Q23" s="19">
        <v>26.5</v>
      </c>
    </row>
    <row r="24" spans="1:17" x14ac:dyDescent="0.25">
      <c r="A24" s="2">
        <v>23</v>
      </c>
      <c r="B24" s="19" t="s">
        <v>42</v>
      </c>
      <c r="C24" s="19" t="s">
        <v>19</v>
      </c>
      <c r="D24" s="20">
        <v>44305</v>
      </c>
      <c r="E24" s="19">
        <v>90.1</v>
      </c>
      <c r="F24" s="21">
        <v>2255</v>
      </c>
      <c r="G24" s="22">
        <v>0.156</v>
      </c>
      <c r="H24" s="21">
        <v>2255</v>
      </c>
      <c r="I24" s="22">
        <v>0.193</v>
      </c>
      <c r="J24" s="21">
        <v>1504</v>
      </c>
      <c r="K24" s="22">
        <v>0.56499999999999995</v>
      </c>
      <c r="L24" s="21">
        <v>14428</v>
      </c>
      <c r="M24" s="19">
        <v>28.08</v>
      </c>
      <c r="N24" s="19">
        <v>2.44</v>
      </c>
      <c r="O24" s="19">
        <v>14.3</v>
      </c>
      <c r="P24" s="19">
        <v>29.5</v>
      </c>
      <c r="Q24" s="19">
        <v>18.46</v>
      </c>
    </row>
    <row r="25" spans="1:17" x14ac:dyDescent="0.25">
      <c r="A25" s="2">
        <v>24</v>
      </c>
      <c r="B25" s="19" t="s">
        <v>43</v>
      </c>
      <c r="C25" s="19" t="s">
        <v>17</v>
      </c>
      <c r="D25" s="20">
        <v>44305</v>
      </c>
      <c r="E25" s="19">
        <v>167.06</v>
      </c>
      <c r="F25" s="21">
        <v>3214</v>
      </c>
      <c r="G25" s="22">
        <v>0.11899999999999999</v>
      </c>
      <c r="H25" s="21">
        <v>3213</v>
      </c>
      <c r="I25" s="23">
        <v>0.16</v>
      </c>
      <c r="J25" s="21">
        <v>2362</v>
      </c>
      <c r="K25" s="22">
        <v>0.503</v>
      </c>
      <c r="L25" s="21">
        <v>26937</v>
      </c>
      <c r="M25" s="19">
        <v>42.25</v>
      </c>
      <c r="N25" s="19">
        <v>3.22</v>
      </c>
      <c r="O25" s="19">
        <v>12.2</v>
      </c>
      <c r="P25" s="19">
        <v>26.7</v>
      </c>
      <c r="Q25" s="19">
        <v>17.43</v>
      </c>
    </row>
    <row r="26" spans="1:17" x14ac:dyDescent="0.25">
      <c r="A26" s="2">
        <v>25</v>
      </c>
      <c r="B26" s="19" t="s">
        <v>44</v>
      </c>
      <c r="C26" s="19" t="s">
        <v>17</v>
      </c>
      <c r="D26" s="20">
        <v>44305</v>
      </c>
      <c r="E26" s="19">
        <v>116.61</v>
      </c>
      <c r="F26" s="21">
        <v>6242</v>
      </c>
      <c r="G26" s="22">
        <v>0.14899999999999999</v>
      </c>
      <c r="H26" s="21">
        <v>6239</v>
      </c>
      <c r="I26" s="22">
        <v>0.20300000000000001</v>
      </c>
      <c r="J26" s="21">
        <v>3587</v>
      </c>
      <c r="K26" s="22">
        <v>0.621</v>
      </c>
      <c r="L26" s="21">
        <v>42022</v>
      </c>
      <c r="M26" s="19">
        <v>36.340000000000003</v>
      </c>
      <c r="N26" s="19">
        <v>3.17</v>
      </c>
      <c r="O26" s="19">
        <v>26.2</v>
      </c>
      <c r="P26" s="19">
        <v>26.8</v>
      </c>
      <c r="Q26" s="19">
        <v>13.75</v>
      </c>
    </row>
    <row r="27" spans="1:17" x14ac:dyDescent="0.25">
      <c r="A27" s="2">
        <v>26</v>
      </c>
      <c r="B27" s="19" t="s">
        <v>45</v>
      </c>
      <c r="C27" s="19" t="s">
        <v>17</v>
      </c>
      <c r="D27" s="20">
        <v>44305</v>
      </c>
      <c r="E27" s="19">
        <v>166.05</v>
      </c>
      <c r="F27" s="21">
        <v>43914</v>
      </c>
      <c r="G27" s="22">
        <v>0.22600000000000001</v>
      </c>
      <c r="H27" s="21">
        <v>43895</v>
      </c>
      <c r="I27" s="22">
        <v>0.27700000000000002</v>
      </c>
      <c r="J27" s="21">
        <v>31235</v>
      </c>
      <c r="K27" s="22">
        <v>0.58499999999999996</v>
      </c>
      <c r="L27" s="21">
        <v>193920</v>
      </c>
      <c r="M27" s="19">
        <v>410.01</v>
      </c>
      <c r="N27" s="19">
        <v>2.46</v>
      </c>
      <c r="O27" s="19">
        <v>12.6</v>
      </c>
      <c r="P27" s="19">
        <v>14.3</v>
      </c>
      <c r="Q27" s="19">
        <v>27.51</v>
      </c>
    </row>
    <row r="28" spans="1:17" x14ac:dyDescent="0.25">
      <c r="A28" s="2">
        <v>27</v>
      </c>
      <c r="B28" s="19" t="s">
        <v>46</v>
      </c>
      <c r="C28" s="19" t="s">
        <v>17</v>
      </c>
      <c r="D28" s="20">
        <v>44305</v>
      </c>
      <c r="E28" s="19">
        <v>177.93</v>
      </c>
      <c r="F28" s="21">
        <v>24646</v>
      </c>
      <c r="G28" s="22">
        <v>0.23200000000000001</v>
      </c>
      <c r="H28" s="21">
        <v>24644</v>
      </c>
      <c r="I28" s="22">
        <v>0.27900000000000003</v>
      </c>
      <c r="J28" s="21">
        <v>19734</v>
      </c>
      <c r="K28" s="22">
        <v>0.51500000000000001</v>
      </c>
      <c r="L28" s="21">
        <v>106221</v>
      </c>
      <c r="M28" s="19">
        <v>104.38</v>
      </c>
      <c r="N28" s="19">
        <v>2.44</v>
      </c>
      <c r="O28" s="19">
        <v>12.7</v>
      </c>
      <c r="P28" s="19">
        <v>19.2</v>
      </c>
      <c r="Q28" s="19">
        <v>36.049999999999997</v>
      </c>
    </row>
    <row r="29" spans="1:17" x14ac:dyDescent="0.25">
      <c r="A29" s="2">
        <v>28</v>
      </c>
      <c r="B29" s="19" t="s">
        <v>47</v>
      </c>
      <c r="C29" s="19" t="s">
        <v>17</v>
      </c>
      <c r="D29" s="20">
        <v>44305</v>
      </c>
      <c r="E29" s="19">
        <v>229.9</v>
      </c>
      <c r="F29" s="21">
        <v>307024</v>
      </c>
      <c r="G29" s="22">
        <v>0.20899999999999999</v>
      </c>
      <c r="H29" s="21">
        <v>306739</v>
      </c>
      <c r="I29" s="22">
        <v>0.26700000000000002</v>
      </c>
      <c r="J29" s="21">
        <v>128300</v>
      </c>
      <c r="K29" s="22">
        <v>0.59899999999999998</v>
      </c>
      <c r="L29" s="21">
        <v>1471968</v>
      </c>
      <c r="M29" s="24">
        <v>1440.39</v>
      </c>
      <c r="N29" s="19">
        <v>2.63</v>
      </c>
      <c r="O29" s="19">
        <v>13</v>
      </c>
      <c r="P29" s="19">
        <v>15.3</v>
      </c>
      <c r="Q29" s="19">
        <v>14.54</v>
      </c>
    </row>
    <row r="30" spans="1:17" x14ac:dyDescent="0.25">
      <c r="A30" s="2">
        <v>29</v>
      </c>
      <c r="B30" s="19" t="s">
        <v>48</v>
      </c>
      <c r="C30" s="19" t="s">
        <v>25</v>
      </c>
      <c r="D30" s="20">
        <v>44305</v>
      </c>
      <c r="E30" s="19" t="s">
        <v>26</v>
      </c>
      <c r="F30" s="21">
        <v>2552</v>
      </c>
      <c r="G30" s="23">
        <v>0.13</v>
      </c>
      <c r="H30" s="21">
        <v>2551</v>
      </c>
      <c r="I30" s="22">
        <v>0.16300000000000001</v>
      </c>
      <c r="J30" s="21">
        <v>1715</v>
      </c>
      <c r="K30" s="22">
        <v>0.437</v>
      </c>
      <c r="L30" s="21">
        <v>19617</v>
      </c>
      <c r="M30" s="19">
        <v>40.97</v>
      </c>
      <c r="N30" s="19">
        <v>2.5099999999999998</v>
      </c>
      <c r="O30" s="19">
        <v>18.899999999999999</v>
      </c>
      <c r="P30" s="19">
        <v>25.6</v>
      </c>
      <c r="Q30" s="19">
        <v>19.989999999999998</v>
      </c>
    </row>
    <row r="31" spans="1:17" x14ac:dyDescent="0.25">
      <c r="A31" s="2">
        <v>30</v>
      </c>
      <c r="B31" s="19" t="s">
        <v>49</v>
      </c>
      <c r="C31" s="19" t="s">
        <v>17</v>
      </c>
      <c r="D31" s="20">
        <v>44305</v>
      </c>
      <c r="E31" s="19">
        <v>114.43</v>
      </c>
      <c r="F31" s="21">
        <v>47745</v>
      </c>
      <c r="G31" s="22">
        <v>0.29899999999999999</v>
      </c>
      <c r="H31" s="21">
        <v>47729</v>
      </c>
      <c r="I31" s="22">
        <v>0.35399999999999998</v>
      </c>
      <c r="J31" s="21">
        <v>36372</v>
      </c>
      <c r="K31" s="22">
        <v>0.67200000000000004</v>
      </c>
      <c r="L31" s="21">
        <v>159923</v>
      </c>
      <c r="M31" s="19">
        <v>318.08</v>
      </c>
      <c r="N31" s="19">
        <v>2.6</v>
      </c>
      <c r="O31" s="19">
        <v>12.1</v>
      </c>
      <c r="P31" s="19">
        <v>12.2</v>
      </c>
      <c r="Q31" s="19">
        <v>33.85</v>
      </c>
    </row>
    <row r="32" spans="1:17" x14ac:dyDescent="0.25">
      <c r="A32" s="2">
        <v>31</v>
      </c>
      <c r="B32" s="19" t="s">
        <v>50</v>
      </c>
      <c r="C32" s="19" t="s">
        <v>25</v>
      </c>
      <c r="D32" s="20">
        <v>44305</v>
      </c>
      <c r="E32" s="19">
        <v>45.24</v>
      </c>
      <c r="F32" s="21">
        <v>8652</v>
      </c>
      <c r="G32" s="22">
        <v>0.186</v>
      </c>
      <c r="H32" s="21">
        <v>8651</v>
      </c>
      <c r="I32" s="23">
        <v>0.23</v>
      </c>
      <c r="J32" s="21">
        <v>5193</v>
      </c>
      <c r="K32" s="22">
        <v>0.54300000000000004</v>
      </c>
      <c r="L32" s="21">
        <v>46414</v>
      </c>
      <c r="M32" s="19">
        <v>50.55</v>
      </c>
      <c r="N32" s="19">
        <v>2.4</v>
      </c>
      <c r="O32" s="19">
        <v>11.3</v>
      </c>
      <c r="P32" s="19">
        <v>20.6</v>
      </c>
      <c r="Q32" s="19">
        <v>20.62</v>
      </c>
    </row>
    <row r="33" spans="1:17" x14ac:dyDescent="0.25">
      <c r="A33" s="2">
        <v>32</v>
      </c>
      <c r="B33" s="19" t="s">
        <v>51</v>
      </c>
      <c r="C33" s="19" t="s">
        <v>17</v>
      </c>
      <c r="D33" s="20">
        <v>44305</v>
      </c>
      <c r="E33" s="19">
        <v>119.33</v>
      </c>
      <c r="F33" s="21">
        <v>4427</v>
      </c>
      <c r="G33" s="22">
        <v>0.311</v>
      </c>
      <c r="H33" s="21">
        <v>4427</v>
      </c>
      <c r="I33" s="22">
        <v>0.372</v>
      </c>
      <c r="J33" s="21">
        <v>3182</v>
      </c>
      <c r="K33" s="22">
        <v>0.90600000000000003</v>
      </c>
      <c r="L33" s="21">
        <v>14246</v>
      </c>
      <c r="M33" s="19">
        <v>23.82</v>
      </c>
      <c r="N33" s="19">
        <v>2.04</v>
      </c>
      <c r="O33" s="19">
        <v>6.4</v>
      </c>
      <c r="P33" s="19">
        <v>14.1</v>
      </c>
      <c r="Q33" s="19">
        <v>24.65</v>
      </c>
    </row>
    <row r="34" spans="1:17" x14ac:dyDescent="0.25">
      <c r="A34" s="2">
        <v>33</v>
      </c>
      <c r="B34" s="19" t="s">
        <v>52</v>
      </c>
      <c r="C34" s="19" t="s">
        <v>25</v>
      </c>
      <c r="D34" s="20">
        <v>44305</v>
      </c>
      <c r="E34" s="19" t="s">
        <v>26</v>
      </c>
      <c r="F34" s="21">
        <v>1294</v>
      </c>
      <c r="G34" s="22">
        <v>0.154</v>
      </c>
      <c r="H34" s="21">
        <v>1294</v>
      </c>
      <c r="I34" s="22">
        <v>0.192</v>
      </c>
      <c r="J34" s="21">
        <v>1058</v>
      </c>
      <c r="K34" s="22">
        <v>0.72699999999999998</v>
      </c>
      <c r="L34" s="21">
        <v>8422</v>
      </c>
      <c r="M34" s="19">
        <v>15.5</v>
      </c>
      <c r="N34" s="19">
        <v>3.43</v>
      </c>
      <c r="O34" s="19">
        <v>17.600000000000001</v>
      </c>
      <c r="P34" s="19">
        <v>20.100000000000001</v>
      </c>
      <c r="Q34" s="19">
        <v>17.28</v>
      </c>
    </row>
    <row r="35" spans="1:17" x14ac:dyDescent="0.25">
      <c r="A35" s="2">
        <v>34</v>
      </c>
      <c r="B35" s="19" t="s">
        <v>53</v>
      </c>
      <c r="C35" s="19" t="s">
        <v>17</v>
      </c>
      <c r="D35" s="20">
        <v>44305</v>
      </c>
      <c r="E35" s="19">
        <v>178.69</v>
      </c>
      <c r="F35" s="21">
        <v>106103</v>
      </c>
      <c r="G35" s="22">
        <v>0.28899999999999998</v>
      </c>
      <c r="H35" s="21">
        <v>106010</v>
      </c>
      <c r="I35" s="22">
        <v>0.35599999999999998</v>
      </c>
      <c r="J35" s="21">
        <v>74780</v>
      </c>
      <c r="K35" s="22">
        <v>0.752</v>
      </c>
      <c r="L35" s="21">
        <v>367118</v>
      </c>
      <c r="M35" s="19">
        <v>386.13</v>
      </c>
      <c r="N35" s="19">
        <v>2.5499999999999998</v>
      </c>
      <c r="O35" s="19">
        <v>11.6</v>
      </c>
      <c r="P35" s="19">
        <v>12.5</v>
      </c>
      <c r="Q35" s="19">
        <v>27.07</v>
      </c>
    </row>
    <row r="36" spans="1:17" x14ac:dyDescent="0.25">
      <c r="A36" s="2">
        <v>35</v>
      </c>
      <c r="B36" s="19" t="s">
        <v>54</v>
      </c>
      <c r="C36" s="19" t="s">
        <v>17</v>
      </c>
      <c r="D36" s="20">
        <v>44305</v>
      </c>
      <c r="E36" s="19">
        <v>208.67</v>
      </c>
      <c r="F36" s="21">
        <v>191102</v>
      </c>
      <c r="G36" s="22">
        <v>0.248</v>
      </c>
      <c r="H36" s="21">
        <v>191063</v>
      </c>
      <c r="I36" s="23">
        <v>0.3</v>
      </c>
      <c r="J36" s="21">
        <v>143495</v>
      </c>
      <c r="K36" s="22">
        <v>0.63900000000000001</v>
      </c>
      <c r="L36" s="21">
        <v>770577</v>
      </c>
      <c r="M36" s="19">
        <v>986.08</v>
      </c>
      <c r="N36" s="19">
        <v>2.61</v>
      </c>
      <c r="O36" s="19">
        <v>14.3</v>
      </c>
      <c r="P36" s="19">
        <v>14</v>
      </c>
      <c r="Q36" s="19">
        <v>29.15</v>
      </c>
    </row>
    <row r="37" spans="1:17" x14ac:dyDescent="0.25">
      <c r="A37" s="2">
        <v>36</v>
      </c>
      <c r="B37" s="19" t="s">
        <v>55</v>
      </c>
      <c r="C37" s="19" t="s">
        <v>19</v>
      </c>
      <c r="D37" s="20">
        <v>44305</v>
      </c>
      <c r="E37" s="19">
        <v>92.31</v>
      </c>
      <c r="F37" s="21">
        <v>69464</v>
      </c>
      <c r="G37" s="22">
        <v>0.23699999999999999</v>
      </c>
      <c r="H37" s="21">
        <v>69371</v>
      </c>
      <c r="I37" s="23">
        <v>0.28999999999999998</v>
      </c>
      <c r="J37" s="21">
        <v>31548</v>
      </c>
      <c r="K37" s="22">
        <v>0.77400000000000002</v>
      </c>
      <c r="L37" s="21">
        <v>293582</v>
      </c>
      <c r="M37" s="19">
        <v>440.23</v>
      </c>
      <c r="N37" s="19">
        <v>2.4300000000000002</v>
      </c>
      <c r="O37" s="19">
        <v>8.1999999999999993</v>
      </c>
      <c r="P37" s="19">
        <v>20.399999999999999</v>
      </c>
      <c r="Q37" s="19">
        <v>13.89</v>
      </c>
    </row>
    <row r="38" spans="1:17" x14ac:dyDescent="0.25">
      <c r="A38" s="2">
        <v>37</v>
      </c>
      <c r="B38" s="19" t="s">
        <v>56</v>
      </c>
      <c r="C38" s="19" t="s">
        <v>17</v>
      </c>
      <c r="D38" s="20">
        <v>44305</v>
      </c>
      <c r="E38" s="19">
        <v>197.58</v>
      </c>
      <c r="F38" s="21">
        <v>7414</v>
      </c>
      <c r="G38" s="22">
        <v>0.17899999999999999</v>
      </c>
      <c r="H38" s="21">
        <v>7409</v>
      </c>
      <c r="I38" s="22">
        <v>0.222</v>
      </c>
      <c r="J38" s="21">
        <v>5304</v>
      </c>
      <c r="K38" s="22">
        <v>0.50800000000000001</v>
      </c>
      <c r="L38" s="21">
        <v>41503</v>
      </c>
      <c r="M38" s="19">
        <v>37.119999999999997</v>
      </c>
      <c r="N38" s="19">
        <v>2.41</v>
      </c>
      <c r="O38" s="19">
        <v>15.5</v>
      </c>
      <c r="P38" s="19">
        <v>20.7</v>
      </c>
      <c r="Q38" s="19">
        <v>25.15</v>
      </c>
    </row>
    <row r="39" spans="1:17" x14ac:dyDescent="0.25">
      <c r="A39" s="2">
        <v>38</v>
      </c>
      <c r="B39" s="19" t="s">
        <v>57</v>
      </c>
      <c r="C39" s="19" t="s">
        <v>25</v>
      </c>
      <c r="D39" s="20">
        <v>44305</v>
      </c>
      <c r="E39" s="19" t="s">
        <v>26</v>
      </c>
      <c r="F39" s="21">
        <v>1167</v>
      </c>
      <c r="G39" s="23">
        <v>0.14000000000000001</v>
      </c>
      <c r="H39" s="21">
        <v>1167</v>
      </c>
      <c r="I39" s="22">
        <v>0.16900000000000001</v>
      </c>
      <c r="J39" s="19">
        <v>706</v>
      </c>
      <c r="K39" s="22">
        <v>0.56200000000000006</v>
      </c>
      <c r="L39" s="21">
        <v>8354</v>
      </c>
      <c r="M39" s="19">
        <v>10</v>
      </c>
      <c r="N39" s="19">
        <v>2.9</v>
      </c>
      <c r="O39" s="19">
        <v>18.5</v>
      </c>
      <c r="P39" s="19">
        <v>13</v>
      </c>
      <c r="Q39" s="19">
        <v>15.04</v>
      </c>
    </row>
    <row r="40" spans="1:17" x14ac:dyDescent="0.25">
      <c r="A40" s="2">
        <v>39</v>
      </c>
      <c r="B40" s="19" t="s">
        <v>58</v>
      </c>
      <c r="C40" s="19" t="s">
        <v>25</v>
      </c>
      <c r="D40" s="20">
        <v>44305</v>
      </c>
      <c r="E40" s="19" t="s">
        <v>26</v>
      </c>
      <c r="F40" s="21">
        <v>3788</v>
      </c>
      <c r="G40" s="22">
        <v>0.20499999999999999</v>
      </c>
      <c r="H40" s="21">
        <v>3787</v>
      </c>
      <c r="I40" s="22">
        <v>0.251</v>
      </c>
      <c r="J40" s="21">
        <v>2428</v>
      </c>
      <c r="K40" s="22">
        <v>0.622</v>
      </c>
      <c r="L40" s="21">
        <v>18493</v>
      </c>
      <c r="M40" s="19">
        <v>26.55</v>
      </c>
      <c r="N40" s="19">
        <v>2.4500000000000002</v>
      </c>
      <c r="O40" s="19">
        <v>13.1</v>
      </c>
      <c r="P40" s="19">
        <v>28.2</v>
      </c>
      <c r="Q40" s="19">
        <v>21.1</v>
      </c>
    </row>
    <row r="41" spans="1:17" x14ac:dyDescent="0.25">
      <c r="A41" s="2">
        <v>40</v>
      </c>
      <c r="B41" s="19" t="s">
        <v>59</v>
      </c>
      <c r="C41" s="19" t="s">
        <v>17</v>
      </c>
      <c r="D41" s="20">
        <v>44305</v>
      </c>
      <c r="E41" s="19">
        <v>211.03</v>
      </c>
      <c r="F41" s="21">
        <v>99407</v>
      </c>
      <c r="G41" s="22">
        <v>0.247</v>
      </c>
      <c r="H41" s="21">
        <v>99384</v>
      </c>
      <c r="I41" s="23">
        <v>0.3</v>
      </c>
      <c r="J41" s="21">
        <v>71770</v>
      </c>
      <c r="K41" s="22">
        <v>0.63400000000000001</v>
      </c>
      <c r="L41" s="21">
        <v>403253</v>
      </c>
      <c r="M41" s="19">
        <v>542.28</v>
      </c>
      <c r="N41" s="19">
        <v>2.57</v>
      </c>
      <c r="O41" s="19">
        <v>12.7</v>
      </c>
      <c r="P41" s="19">
        <v>12.5</v>
      </c>
      <c r="Q41" s="19">
        <v>28.06</v>
      </c>
    </row>
    <row r="42" spans="1:17" x14ac:dyDescent="0.25">
      <c r="A42" s="2">
        <v>41</v>
      </c>
      <c r="B42" s="19" t="s">
        <v>60</v>
      </c>
      <c r="C42" s="19" t="s">
        <v>17</v>
      </c>
      <c r="D42" s="20">
        <v>44305</v>
      </c>
      <c r="E42" s="19">
        <v>109.69</v>
      </c>
      <c r="F42" s="21">
        <v>89056</v>
      </c>
      <c r="G42" s="22">
        <v>0.24399999999999999</v>
      </c>
      <c r="H42" s="21">
        <v>89033</v>
      </c>
      <c r="I42" s="22">
        <v>0.29899999999999999</v>
      </c>
      <c r="J42" s="21">
        <v>64938</v>
      </c>
      <c r="K42" s="22">
        <v>0.60899999999999999</v>
      </c>
      <c r="L42" s="21">
        <v>365579</v>
      </c>
      <c r="M42" s="19">
        <v>230.15</v>
      </c>
      <c r="N42" s="19">
        <v>2.48</v>
      </c>
      <c r="O42" s="19">
        <v>12.3</v>
      </c>
      <c r="P42" s="19">
        <v>16.600000000000001</v>
      </c>
      <c r="Q42" s="19">
        <v>29.18</v>
      </c>
    </row>
    <row r="43" spans="1:17" x14ac:dyDescent="0.25">
      <c r="A43" s="2">
        <v>42</v>
      </c>
      <c r="B43" s="19" t="s">
        <v>61</v>
      </c>
      <c r="C43" s="19" t="s">
        <v>17</v>
      </c>
      <c r="D43" s="20">
        <v>44305</v>
      </c>
      <c r="E43" s="19">
        <v>124.22</v>
      </c>
      <c r="F43" s="21">
        <v>47555</v>
      </c>
      <c r="G43" s="22">
        <v>0.29499999999999998</v>
      </c>
      <c r="H43" s="21">
        <v>47536</v>
      </c>
      <c r="I43" s="22">
        <v>0.35199999999999998</v>
      </c>
      <c r="J43" s="21">
        <v>36162</v>
      </c>
      <c r="K43" s="22">
        <v>0.71199999999999997</v>
      </c>
      <c r="L43" s="21">
        <v>161000</v>
      </c>
      <c r="M43" s="19">
        <v>296.05</v>
      </c>
      <c r="N43" s="19">
        <v>2.41</v>
      </c>
      <c r="O43" s="19">
        <v>11.5</v>
      </c>
      <c r="P43" s="19">
        <v>10.5</v>
      </c>
      <c r="Q43" s="19">
        <v>31.53</v>
      </c>
    </row>
    <row r="44" spans="1:17" x14ac:dyDescent="0.25">
      <c r="A44" s="2">
        <v>43</v>
      </c>
      <c r="B44" s="19" t="s">
        <v>62</v>
      </c>
      <c r="C44" s="19" t="s">
        <v>17</v>
      </c>
      <c r="D44" s="20">
        <v>44305</v>
      </c>
      <c r="E44" s="19">
        <v>346.53</v>
      </c>
      <c r="F44" s="21">
        <v>680659</v>
      </c>
      <c r="G44" s="22">
        <v>0.251</v>
      </c>
      <c r="H44" s="21">
        <v>679218</v>
      </c>
      <c r="I44" s="22">
        <v>0.313</v>
      </c>
      <c r="J44" s="21">
        <v>297413</v>
      </c>
      <c r="K44" s="22">
        <v>0.65700000000000003</v>
      </c>
      <c r="L44" s="21">
        <v>2716940</v>
      </c>
      <c r="M44" s="24">
        <v>1430.09</v>
      </c>
      <c r="N44" s="19">
        <v>3.07</v>
      </c>
      <c r="O44" s="19">
        <v>18.100000000000001</v>
      </c>
      <c r="P44" s="19">
        <v>18</v>
      </c>
      <c r="Q44" s="19">
        <v>16.66</v>
      </c>
    </row>
    <row r="45" spans="1:17" x14ac:dyDescent="0.25">
      <c r="A45" s="2">
        <v>44</v>
      </c>
      <c r="B45" s="19" t="s">
        <v>63</v>
      </c>
      <c r="C45" s="19" t="s">
        <v>17</v>
      </c>
      <c r="D45" s="20">
        <v>44305</v>
      </c>
      <c r="E45" s="19">
        <v>136.07</v>
      </c>
      <c r="F45" s="21">
        <v>21627</v>
      </c>
      <c r="G45" s="22">
        <v>0.29099999999999998</v>
      </c>
      <c r="H45" s="21">
        <v>21618</v>
      </c>
      <c r="I45" s="22">
        <v>0.34300000000000003</v>
      </c>
      <c r="J45" s="21">
        <v>13334</v>
      </c>
      <c r="K45" s="22">
        <v>0.75600000000000001</v>
      </c>
      <c r="L45" s="21">
        <v>74228</v>
      </c>
      <c r="M45" s="19">
        <v>75.510000000000005</v>
      </c>
      <c r="N45" s="19">
        <v>2.39</v>
      </c>
      <c r="O45" s="19">
        <v>17.8</v>
      </c>
      <c r="P45" s="19">
        <v>11.8</v>
      </c>
      <c r="Q45" s="19">
        <v>23.75</v>
      </c>
    </row>
    <row r="46" spans="1:17" x14ac:dyDescent="0.25">
      <c r="A46" s="2">
        <v>45</v>
      </c>
      <c r="B46" s="19" t="s">
        <v>64</v>
      </c>
      <c r="C46" s="19" t="s">
        <v>19</v>
      </c>
      <c r="D46" s="20">
        <v>44305</v>
      </c>
      <c r="E46" s="19">
        <v>83.5</v>
      </c>
      <c r="F46" s="21">
        <v>25172</v>
      </c>
      <c r="G46" s="22">
        <v>0.28399999999999997</v>
      </c>
      <c r="H46" s="21">
        <v>25158</v>
      </c>
      <c r="I46" s="22">
        <v>0.35399999999999998</v>
      </c>
      <c r="J46" s="21">
        <v>15581</v>
      </c>
      <c r="K46" s="23">
        <v>0.77</v>
      </c>
      <c r="L46" s="21">
        <v>88625</v>
      </c>
      <c r="M46" s="19">
        <v>136.62</v>
      </c>
      <c r="N46" s="19">
        <v>2.5499999999999998</v>
      </c>
      <c r="O46" s="19">
        <v>11</v>
      </c>
      <c r="P46" s="19">
        <v>10.199999999999999</v>
      </c>
      <c r="Q46" s="19">
        <v>22.83</v>
      </c>
    </row>
    <row r="47" spans="1:17" x14ac:dyDescent="0.25">
      <c r="A47" s="2">
        <v>46</v>
      </c>
      <c r="B47" s="19" t="s">
        <v>65</v>
      </c>
      <c r="C47" s="19" t="s">
        <v>19</v>
      </c>
      <c r="D47" s="20">
        <v>44305</v>
      </c>
      <c r="E47" s="19">
        <v>81.62</v>
      </c>
      <c r="F47" s="21">
        <v>44920</v>
      </c>
      <c r="G47" s="22">
        <v>0.21299999999999999</v>
      </c>
      <c r="H47" s="21">
        <v>44896</v>
      </c>
      <c r="I47" s="22">
        <v>0.27400000000000002</v>
      </c>
      <c r="J47" s="21">
        <v>24284</v>
      </c>
      <c r="K47" s="22">
        <v>0.70599999999999996</v>
      </c>
      <c r="L47" s="21">
        <v>210738</v>
      </c>
      <c r="M47" s="19">
        <v>226.55</v>
      </c>
      <c r="N47" s="19">
        <v>2.52</v>
      </c>
      <c r="O47" s="19">
        <v>12.2</v>
      </c>
      <c r="P47" s="19">
        <v>11.5</v>
      </c>
      <c r="Q47" s="19">
        <v>16.309999999999999</v>
      </c>
    </row>
    <row r="48" spans="1:17" x14ac:dyDescent="0.25">
      <c r="A48" s="2">
        <v>47</v>
      </c>
      <c r="B48" s="19" t="s">
        <v>66</v>
      </c>
      <c r="C48" s="19" t="s">
        <v>17</v>
      </c>
      <c r="D48" s="20">
        <v>44305</v>
      </c>
      <c r="E48" s="19">
        <v>149.4</v>
      </c>
      <c r="F48" s="21">
        <v>6954</v>
      </c>
      <c r="G48" s="22">
        <v>0.16500000000000001</v>
      </c>
      <c r="H48" s="21">
        <v>6952</v>
      </c>
      <c r="I48" s="22">
        <v>0.20899999999999999</v>
      </c>
      <c r="J48" s="21">
        <v>5334</v>
      </c>
      <c r="K48" s="22">
        <v>0.629</v>
      </c>
      <c r="L48" s="21">
        <v>42168</v>
      </c>
      <c r="M48" s="19">
        <v>54.82</v>
      </c>
      <c r="N48" s="19">
        <v>2.73</v>
      </c>
      <c r="O48" s="19">
        <v>18.100000000000001</v>
      </c>
      <c r="P48" s="19">
        <v>22.7</v>
      </c>
      <c r="Q48" s="19">
        <v>20.12</v>
      </c>
    </row>
    <row r="49" spans="1:17" x14ac:dyDescent="0.25">
      <c r="A49" s="2">
        <v>48</v>
      </c>
      <c r="B49" s="19" t="s">
        <v>67</v>
      </c>
      <c r="C49" s="19" t="s">
        <v>17</v>
      </c>
      <c r="D49" s="20">
        <v>44305</v>
      </c>
      <c r="E49" s="19">
        <v>223.69</v>
      </c>
      <c r="F49" s="21">
        <v>295067</v>
      </c>
      <c r="G49" s="22">
        <v>0.21199999999999999</v>
      </c>
      <c r="H49" s="21">
        <v>294391</v>
      </c>
      <c r="I49" s="22">
        <v>0.27100000000000002</v>
      </c>
      <c r="J49" s="21">
        <v>115897</v>
      </c>
      <c r="K49" s="22">
        <v>0.67600000000000005</v>
      </c>
      <c r="L49" s="21">
        <v>1393452</v>
      </c>
      <c r="M49" s="24">
        <v>1545.08</v>
      </c>
      <c r="N49" s="19">
        <v>2.81</v>
      </c>
      <c r="O49" s="19">
        <v>14.5</v>
      </c>
      <c r="P49" s="19">
        <v>16.100000000000001</v>
      </c>
      <c r="Q49" s="19">
        <v>12.31</v>
      </c>
    </row>
    <row r="50" spans="1:17" x14ac:dyDescent="0.25">
      <c r="A50" s="2">
        <v>49</v>
      </c>
      <c r="B50" s="19" t="s">
        <v>68</v>
      </c>
      <c r="C50" s="19" t="s">
        <v>17</v>
      </c>
      <c r="D50" s="20">
        <v>44305</v>
      </c>
      <c r="E50" s="19">
        <v>303.66000000000003</v>
      </c>
      <c r="F50" s="21">
        <v>71547</v>
      </c>
      <c r="G50" s="23">
        <v>0.19</v>
      </c>
      <c r="H50" s="21">
        <v>71475</v>
      </c>
      <c r="I50" s="22">
        <v>0.251</v>
      </c>
      <c r="J50" s="21">
        <v>34511</v>
      </c>
      <c r="K50" s="23">
        <v>0.68</v>
      </c>
      <c r="L50" s="21">
        <v>375751</v>
      </c>
      <c r="M50" s="19">
        <v>283.04000000000002</v>
      </c>
      <c r="N50" s="19">
        <v>3.4</v>
      </c>
      <c r="O50" s="19">
        <v>15.8</v>
      </c>
      <c r="P50" s="19">
        <v>16.3</v>
      </c>
      <c r="Q50" s="19">
        <v>13.52</v>
      </c>
    </row>
    <row r="51" spans="1:17" x14ac:dyDescent="0.25">
      <c r="A51" s="2">
        <v>50</v>
      </c>
      <c r="B51" s="19" t="s">
        <v>69</v>
      </c>
      <c r="C51" s="19" t="s">
        <v>17</v>
      </c>
      <c r="D51" s="20">
        <v>44305</v>
      </c>
      <c r="E51" s="19">
        <v>181.59</v>
      </c>
      <c r="F51" s="21">
        <v>384787</v>
      </c>
      <c r="G51" s="22">
        <v>0.25700000000000001</v>
      </c>
      <c r="H51" s="21">
        <v>384394</v>
      </c>
      <c r="I51" s="22">
        <v>0.317</v>
      </c>
      <c r="J51" s="21">
        <v>245184</v>
      </c>
      <c r="K51" s="22">
        <v>0.67300000000000004</v>
      </c>
      <c r="L51" s="21">
        <v>1496770</v>
      </c>
      <c r="M51" s="19">
        <v>761.99</v>
      </c>
      <c r="N51" s="19">
        <v>2.6</v>
      </c>
      <c r="O51" s="19">
        <v>13.6</v>
      </c>
      <c r="P51" s="19">
        <v>12.8</v>
      </c>
      <c r="Q51" s="19">
        <v>24.36</v>
      </c>
    </row>
    <row r="52" spans="1:17" x14ac:dyDescent="0.25">
      <c r="A52" s="2">
        <v>51</v>
      </c>
      <c r="B52" s="19" t="s">
        <v>70</v>
      </c>
      <c r="C52" s="19" t="s">
        <v>17</v>
      </c>
      <c r="D52" s="20">
        <v>44305</v>
      </c>
      <c r="E52" s="19">
        <v>198.57</v>
      </c>
      <c r="F52" s="21">
        <v>120684</v>
      </c>
      <c r="G52" s="22">
        <v>0.218</v>
      </c>
      <c r="H52" s="21">
        <v>120618</v>
      </c>
      <c r="I52" s="22">
        <v>0.27300000000000002</v>
      </c>
      <c r="J52" s="21">
        <v>74693</v>
      </c>
      <c r="K52" s="22">
        <v>0.59499999999999997</v>
      </c>
      <c r="L52" s="21">
        <v>553947</v>
      </c>
      <c r="M52" s="19">
        <v>741.98</v>
      </c>
      <c r="N52" s="19">
        <v>2.52</v>
      </c>
      <c r="O52" s="19">
        <v>11.8</v>
      </c>
      <c r="P52" s="19">
        <v>13.5</v>
      </c>
      <c r="Q52" s="19">
        <v>22.65</v>
      </c>
    </row>
    <row r="53" spans="1:17" x14ac:dyDescent="0.25">
      <c r="A53" s="2">
        <v>52</v>
      </c>
      <c r="B53" s="19" t="s">
        <v>71</v>
      </c>
      <c r="C53" s="19" t="s">
        <v>17</v>
      </c>
      <c r="D53" s="20">
        <v>44305</v>
      </c>
      <c r="E53" s="19">
        <v>166.77</v>
      </c>
      <c r="F53" s="21">
        <v>272439</v>
      </c>
      <c r="G53" s="22">
        <v>0.27900000000000003</v>
      </c>
      <c r="H53" s="21">
        <v>272266</v>
      </c>
      <c r="I53" s="22">
        <v>0.33200000000000002</v>
      </c>
      <c r="J53" s="21">
        <v>159974</v>
      </c>
      <c r="K53" s="22">
        <v>0.64600000000000002</v>
      </c>
      <c r="L53" s="21">
        <v>974996</v>
      </c>
      <c r="M53" s="24">
        <v>3561.28</v>
      </c>
      <c r="N53" s="19">
        <v>2.31</v>
      </c>
      <c r="O53" s="19">
        <v>11.5</v>
      </c>
      <c r="P53" s="19">
        <v>13</v>
      </c>
      <c r="Q53" s="19">
        <v>25.4</v>
      </c>
    </row>
    <row r="54" spans="1:17" x14ac:dyDescent="0.25">
      <c r="A54" s="2">
        <v>53</v>
      </c>
      <c r="B54" s="19" t="s">
        <v>72</v>
      </c>
      <c r="C54" s="19" t="s">
        <v>17</v>
      </c>
      <c r="D54" s="20">
        <v>44305</v>
      </c>
      <c r="E54" s="19">
        <v>229.31</v>
      </c>
      <c r="F54" s="21">
        <v>136143</v>
      </c>
      <c r="G54" s="22">
        <v>0.188</v>
      </c>
      <c r="H54" s="21">
        <v>136057</v>
      </c>
      <c r="I54" s="22">
        <v>0.24099999999999999</v>
      </c>
      <c r="J54" s="21">
        <v>85163</v>
      </c>
      <c r="K54" s="22">
        <v>0.57499999999999996</v>
      </c>
      <c r="L54" s="21">
        <v>724777</v>
      </c>
      <c r="M54" s="19">
        <v>403.21</v>
      </c>
      <c r="N54" s="19">
        <v>2.84</v>
      </c>
      <c r="O54" s="19">
        <v>13.2</v>
      </c>
      <c r="P54" s="19">
        <v>16.600000000000001</v>
      </c>
      <c r="Q54" s="19">
        <v>20.440000000000001</v>
      </c>
    </row>
    <row r="55" spans="1:17" x14ac:dyDescent="0.25">
      <c r="A55" s="2">
        <v>54</v>
      </c>
      <c r="B55" s="19" t="s">
        <v>73</v>
      </c>
      <c r="C55" s="19" t="s">
        <v>17</v>
      </c>
      <c r="D55" s="20">
        <v>44305</v>
      </c>
      <c r="E55" s="19">
        <v>157</v>
      </c>
      <c r="F55" s="21">
        <v>11570</v>
      </c>
      <c r="G55" s="22">
        <v>0.155</v>
      </c>
      <c r="H55" s="21">
        <v>11568</v>
      </c>
      <c r="I55" s="22">
        <v>0.19700000000000001</v>
      </c>
      <c r="J55" s="21">
        <v>7993</v>
      </c>
      <c r="K55" s="22">
        <v>0.45200000000000001</v>
      </c>
      <c r="L55" s="21">
        <v>74521</v>
      </c>
      <c r="M55" s="19">
        <v>102.38</v>
      </c>
      <c r="N55" s="19">
        <v>2.52</v>
      </c>
      <c r="O55" s="19">
        <v>16</v>
      </c>
      <c r="P55" s="19">
        <v>24.8</v>
      </c>
      <c r="Q55" s="19">
        <v>23.72</v>
      </c>
    </row>
    <row r="56" spans="1:17" x14ac:dyDescent="0.25">
      <c r="A56" s="2">
        <v>55</v>
      </c>
      <c r="B56" s="19" t="s">
        <v>74</v>
      </c>
      <c r="C56" s="19" t="s">
        <v>25</v>
      </c>
      <c r="D56" s="20">
        <v>44305</v>
      </c>
      <c r="E56" s="19">
        <v>41.78</v>
      </c>
      <c r="F56" s="21">
        <v>35276</v>
      </c>
      <c r="G56" s="22">
        <v>0.191</v>
      </c>
      <c r="H56" s="21">
        <v>35240</v>
      </c>
      <c r="I56" s="22">
        <v>0.245</v>
      </c>
      <c r="J56" s="21">
        <v>19920</v>
      </c>
      <c r="K56" s="22">
        <v>0.66100000000000003</v>
      </c>
      <c r="L56" s="21">
        <v>184313</v>
      </c>
      <c r="M56" s="19">
        <v>182.06</v>
      </c>
      <c r="N56" s="19">
        <v>2.68</v>
      </c>
      <c r="O56" s="19">
        <v>10</v>
      </c>
      <c r="P56" s="19">
        <v>9.8000000000000007</v>
      </c>
      <c r="Q56" s="19">
        <v>16.34</v>
      </c>
    </row>
    <row r="57" spans="1:17" x14ac:dyDescent="0.25">
      <c r="A57" s="2">
        <v>56</v>
      </c>
      <c r="B57" s="19" t="s">
        <v>75</v>
      </c>
      <c r="C57" s="19" t="s">
        <v>17</v>
      </c>
      <c r="D57" s="20">
        <v>44305</v>
      </c>
      <c r="E57" s="19">
        <v>168.53</v>
      </c>
      <c r="F57" s="21">
        <v>143701</v>
      </c>
      <c r="G57" s="22">
        <v>0.33100000000000002</v>
      </c>
      <c r="H57" s="21">
        <v>143634</v>
      </c>
      <c r="I57" s="22">
        <v>0.38500000000000001</v>
      </c>
      <c r="J57" s="21">
        <v>111240</v>
      </c>
      <c r="K57" s="22">
        <v>0.68700000000000006</v>
      </c>
      <c r="L57" s="21">
        <v>433742</v>
      </c>
      <c r="M57" s="19">
        <v>780.13</v>
      </c>
      <c r="N57" s="19">
        <v>2.25</v>
      </c>
      <c r="O57" s="19">
        <v>11.4</v>
      </c>
      <c r="P57" s="19">
        <v>9.6999999999999993</v>
      </c>
      <c r="Q57" s="19">
        <v>37.340000000000003</v>
      </c>
    </row>
    <row r="58" spans="1:17" x14ac:dyDescent="0.25">
      <c r="A58" s="2">
        <v>57</v>
      </c>
      <c r="B58" s="19" t="s">
        <v>76</v>
      </c>
      <c r="C58" s="19" t="s">
        <v>17</v>
      </c>
      <c r="D58" s="20">
        <v>44305</v>
      </c>
      <c r="E58" s="19">
        <v>193.08</v>
      </c>
      <c r="F58" s="21">
        <v>97403</v>
      </c>
      <c r="G58" s="22">
        <v>0.20599999999999999</v>
      </c>
      <c r="H58" s="21">
        <v>97243</v>
      </c>
      <c r="I58" s="23">
        <v>0.26</v>
      </c>
      <c r="J58" s="21">
        <v>47551</v>
      </c>
      <c r="K58" s="22">
        <v>0.63100000000000001</v>
      </c>
      <c r="L58" s="21">
        <v>471826</v>
      </c>
      <c r="M58" s="24">
        <v>1525.34</v>
      </c>
      <c r="N58" s="19">
        <v>2.7</v>
      </c>
      <c r="O58" s="19">
        <v>10.4</v>
      </c>
      <c r="P58" s="19">
        <v>11.4</v>
      </c>
      <c r="Q58" s="19">
        <v>15.98</v>
      </c>
    </row>
    <row r="59" spans="1:17" x14ac:dyDescent="0.25">
      <c r="A59" s="2">
        <v>58</v>
      </c>
      <c r="B59" s="19" t="s">
        <v>77</v>
      </c>
      <c r="C59" s="19" t="s">
        <v>17</v>
      </c>
      <c r="D59" s="20">
        <v>44305</v>
      </c>
      <c r="E59" s="19">
        <v>106.92</v>
      </c>
      <c r="F59" s="21">
        <v>84054</v>
      </c>
      <c r="G59" s="22">
        <v>0.318</v>
      </c>
      <c r="H59" s="21">
        <v>83910</v>
      </c>
      <c r="I59" s="22">
        <v>0.40400000000000003</v>
      </c>
      <c r="J59" s="21">
        <v>45488</v>
      </c>
      <c r="K59" s="22">
        <v>0.83199999999999996</v>
      </c>
      <c r="L59" s="21">
        <v>264672</v>
      </c>
      <c r="M59" s="19">
        <v>440.71</v>
      </c>
      <c r="N59" s="19">
        <v>2.7</v>
      </c>
      <c r="O59" s="19">
        <v>8.4</v>
      </c>
      <c r="P59" s="19">
        <v>8.4</v>
      </c>
      <c r="Q59" s="19">
        <v>20.65</v>
      </c>
    </row>
    <row r="60" spans="1:17" x14ac:dyDescent="0.25">
      <c r="A60" s="2">
        <v>59</v>
      </c>
      <c r="B60" s="19" t="s">
        <v>78</v>
      </c>
      <c r="C60" s="19" t="s">
        <v>17</v>
      </c>
      <c r="D60" s="20">
        <v>44305</v>
      </c>
      <c r="E60" s="19">
        <v>156.57</v>
      </c>
      <c r="F60" s="21">
        <v>69358</v>
      </c>
      <c r="G60" s="22">
        <v>0.21099999999999999</v>
      </c>
      <c r="H60" s="21">
        <v>69338</v>
      </c>
      <c r="I60" s="22">
        <v>0.26200000000000001</v>
      </c>
      <c r="J60" s="21">
        <v>48113</v>
      </c>
      <c r="K60" s="22">
        <v>0.59499999999999997</v>
      </c>
      <c r="L60" s="21">
        <v>328297</v>
      </c>
      <c r="M60" s="19">
        <v>574.29999999999995</v>
      </c>
      <c r="N60" s="19">
        <v>2.68</v>
      </c>
      <c r="O60" s="19">
        <v>14</v>
      </c>
      <c r="P60" s="19">
        <v>15</v>
      </c>
      <c r="Q60" s="19">
        <v>24.65</v>
      </c>
    </row>
    <row r="61" spans="1:17" x14ac:dyDescent="0.25">
      <c r="A61" s="2">
        <v>60</v>
      </c>
      <c r="B61" s="19" t="s">
        <v>79</v>
      </c>
      <c r="C61" s="19" t="s">
        <v>19</v>
      </c>
      <c r="D61" s="20">
        <v>44305</v>
      </c>
      <c r="E61" s="19">
        <v>85.33</v>
      </c>
      <c r="F61" s="21">
        <v>70692</v>
      </c>
      <c r="G61" s="22">
        <v>0.53400000000000003</v>
      </c>
      <c r="H61" s="21">
        <v>70682</v>
      </c>
      <c r="I61" s="22">
        <v>0.57499999999999996</v>
      </c>
      <c r="J61" s="21">
        <v>61613</v>
      </c>
      <c r="K61" s="23">
        <v>0.8</v>
      </c>
      <c r="L61" s="21">
        <v>132420</v>
      </c>
      <c r="M61" s="19">
        <v>237.68</v>
      </c>
      <c r="N61" s="19">
        <v>2.04</v>
      </c>
      <c r="O61" s="19">
        <v>6.2</v>
      </c>
      <c r="P61" s="19">
        <v>8.8000000000000007</v>
      </c>
      <c r="Q61" s="19">
        <v>58.17</v>
      </c>
    </row>
    <row r="62" spans="1:17" x14ac:dyDescent="0.25">
      <c r="A62" s="2">
        <v>61</v>
      </c>
      <c r="B62" s="19" t="s">
        <v>80</v>
      </c>
      <c r="C62" s="19" t="s">
        <v>19</v>
      </c>
      <c r="D62" s="20">
        <v>44305</v>
      </c>
      <c r="E62" s="19">
        <v>78.8</v>
      </c>
      <c r="F62" s="21">
        <v>7321</v>
      </c>
      <c r="G62" s="22">
        <v>0.16500000000000001</v>
      </c>
      <c r="H62" s="21">
        <v>7319</v>
      </c>
      <c r="I62" s="22">
        <v>0.20899999999999999</v>
      </c>
      <c r="J62" s="21">
        <v>5197</v>
      </c>
      <c r="K62" s="22">
        <v>0.53900000000000003</v>
      </c>
      <c r="L62" s="21">
        <v>44417</v>
      </c>
      <c r="M62" s="19">
        <v>64.510000000000005</v>
      </c>
      <c r="N62" s="19">
        <v>2.81</v>
      </c>
      <c r="O62" s="19">
        <v>13.9</v>
      </c>
      <c r="P62" s="19">
        <v>17.8</v>
      </c>
      <c r="Q62" s="19">
        <v>21.73</v>
      </c>
    </row>
    <row r="63" spans="1:17" x14ac:dyDescent="0.25">
      <c r="A63" s="2">
        <v>62</v>
      </c>
      <c r="B63" s="19" t="s">
        <v>81</v>
      </c>
      <c r="C63" s="19" t="s">
        <v>25</v>
      </c>
      <c r="D63" s="20">
        <v>44305</v>
      </c>
      <c r="E63" s="19" t="s">
        <v>26</v>
      </c>
      <c r="F63" s="21">
        <v>3323</v>
      </c>
      <c r="G63" s="22">
        <v>0.154</v>
      </c>
      <c r="H63" s="21">
        <v>3322</v>
      </c>
      <c r="I63" s="22">
        <v>0.192</v>
      </c>
      <c r="J63" s="21">
        <v>2289</v>
      </c>
      <c r="K63" s="22">
        <v>0.50600000000000001</v>
      </c>
      <c r="L63" s="21">
        <v>21569</v>
      </c>
      <c r="M63" s="19">
        <v>20.67</v>
      </c>
      <c r="N63" s="19">
        <v>2.4700000000000002</v>
      </c>
      <c r="O63" s="19">
        <v>10.9</v>
      </c>
      <c r="P63" s="19">
        <v>19.8</v>
      </c>
      <c r="Q63" s="19">
        <v>20.98</v>
      </c>
    </row>
    <row r="64" spans="1:17" x14ac:dyDescent="0.25">
      <c r="A64" s="2">
        <v>63</v>
      </c>
      <c r="B64" s="19" t="s">
        <v>82</v>
      </c>
      <c r="C64" s="19" t="s">
        <v>19</v>
      </c>
      <c r="D64" s="20">
        <v>44305</v>
      </c>
      <c r="E64" s="19">
        <v>85.32</v>
      </c>
      <c r="F64" s="21">
        <v>1685</v>
      </c>
      <c r="G64" s="22">
        <v>0.111</v>
      </c>
      <c r="H64" s="21">
        <v>1685</v>
      </c>
      <c r="I64" s="22">
        <v>0.13800000000000001</v>
      </c>
      <c r="J64" s="21">
        <v>1109</v>
      </c>
      <c r="K64" s="22">
        <v>0.47899999999999998</v>
      </c>
      <c r="L64" s="21">
        <v>15237</v>
      </c>
      <c r="M64" s="19">
        <v>62.56</v>
      </c>
      <c r="N64" s="19">
        <v>2.5</v>
      </c>
      <c r="O64" s="19">
        <v>12.4</v>
      </c>
      <c r="P64" s="19">
        <v>22</v>
      </c>
      <c r="Q64" s="19">
        <v>15.21</v>
      </c>
    </row>
    <row r="65" spans="1:17" x14ac:dyDescent="0.25">
      <c r="A65" s="2">
        <v>64</v>
      </c>
      <c r="B65" s="19" t="s">
        <v>83</v>
      </c>
      <c r="C65" s="19" t="s">
        <v>17</v>
      </c>
      <c r="D65" s="20">
        <v>44305</v>
      </c>
      <c r="E65" s="19">
        <v>214.54</v>
      </c>
      <c r="F65" s="21">
        <v>131981</v>
      </c>
      <c r="G65" s="22">
        <v>0.23899999999999999</v>
      </c>
      <c r="H65" s="21">
        <v>131935</v>
      </c>
      <c r="I65" s="22">
        <v>0.28899999999999998</v>
      </c>
      <c r="J65" s="21">
        <v>89166</v>
      </c>
      <c r="K65" s="22">
        <v>0.64700000000000002</v>
      </c>
      <c r="L65" s="21">
        <v>553284</v>
      </c>
      <c r="M65" s="19">
        <v>502.42</v>
      </c>
      <c r="N65" s="19">
        <v>2.4300000000000002</v>
      </c>
      <c r="O65" s="19">
        <v>12.5</v>
      </c>
      <c r="P65" s="19">
        <v>15.2</v>
      </c>
      <c r="Q65" s="19">
        <v>24.91</v>
      </c>
    </row>
    <row r="66" spans="1:17" x14ac:dyDescent="0.25">
      <c r="A66" s="2">
        <v>65</v>
      </c>
      <c r="B66" s="19" t="s">
        <v>84</v>
      </c>
      <c r="C66" s="19" t="s">
        <v>17</v>
      </c>
      <c r="D66" s="20">
        <v>44305</v>
      </c>
      <c r="E66" s="19">
        <v>148.19999999999999</v>
      </c>
      <c r="F66" s="21">
        <v>6474</v>
      </c>
      <c r="G66" s="22">
        <v>0.192</v>
      </c>
      <c r="H66" s="21">
        <v>6469</v>
      </c>
      <c r="I66" s="22">
        <v>0.24199999999999999</v>
      </c>
      <c r="J66" s="21">
        <v>3878</v>
      </c>
      <c r="K66" s="22">
        <v>0.72299999999999998</v>
      </c>
      <c r="L66" s="21">
        <v>33739</v>
      </c>
      <c r="M66" s="19">
        <v>55.64</v>
      </c>
      <c r="N66" s="19">
        <v>2.56</v>
      </c>
      <c r="O66" s="19">
        <v>9</v>
      </c>
      <c r="P66" s="19">
        <v>11.5</v>
      </c>
      <c r="Q66" s="19">
        <v>15.9</v>
      </c>
    </row>
    <row r="67" spans="1:17" x14ac:dyDescent="0.25">
      <c r="A67" s="2">
        <v>66</v>
      </c>
      <c r="B67" s="19" t="s">
        <v>85</v>
      </c>
      <c r="C67" s="19" t="s">
        <v>17</v>
      </c>
      <c r="D67" s="20">
        <v>44305</v>
      </c>
      <c r="E67" s="19">
        <v>137.71</v>
      </c>
      <c r="F67" s="21">
        <v>14264</v>
      </c>
      <c r="G67" s="22">
        <v>0.193</v>
      </c>
      <c r="H67" s="21">
        <v>14260</v>
      </c>
      <c r="I67" s="22">
        <v>0.24199999999999999</v>
      </c>
      <c r="J67" s="21">
        <v>8950</v>
      </c>
      <c r="K67" s="22">
        <v>0.59799999999999998</v>
      </c>
      <c r="L67" s="21">
        <v>74071</v>
      </c>
      <c r="M67" s="19">
        <v>71.38</v>
      </c>
      <c r="N67" s="19">
        <v>2.42</v>
      </c>
      <c r="O67" s="19">
        <v>13.5</v>
      </c>
      <c r="P67" s="19">
        <v>14.7</v>
      </c>
      <c r="Q67" s="19">
        <v>20.22</v>
      </c>
    </row>
    <row r="68" spans="1:17" x14ac:dyDescent="0.25">
      <c r="A68" s="1">
        <v>67</v>
      </c>
      <c r="B68" s="19" t="s">
        <v>86</v>
      </c>
      <c r="C68" s="19" t="s">
        <v>25</v>
      </c>
      <c r="D68" s="20">
        <v>44305</v>
      </c>
      <c r="E68" s="19" t="s">
        <v>26</v>
      </c>
      <c r="F68" s="21">
        <v>3150</v>
      </c>
      <c r="G68" s="22">
        <v>0.124</v>
      </c>
      <c r="H68" s="21">
        <v>3147</v>
      </c>
      <c r="I68" s="22">
        <v>0.154</v>
      </c>
      <c r="J68" s="21">
        <v>2007</v>
      </c>
      <c r="K68" s="22">
        <v>0.45800000000000002</v>
      </c>
      <c r="L68" s="21">
        <v>25473</v>
      </c>
      <c r="M68" s="19">
        <v>43.57</v>
      </c>
      <c r="N68" s="19">
        <v>2.57</v>
      </c>
      <c r="O68" s="19">
        <v>12.8</v>
      </c>
      <c r="P68" s="19">
        <v>22.4</v>
      </c>
      <c r="Q68" s="19">
        <v>17.2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68"/>
  <sheetViews>
    <sheetView workbookViewId="0">
      <selection sqref="A1:Q68"/>
    </sheetView>
  </sheetViews>
  <sheetFormatPr defaultRowHeight="15.75" x14ac:dyDescent="0.25"/>
  <cols>
    <col min="1" max="1" width="4.875" customWidth="1"/>
    <col min="2" max="2" width="9.5" bestFit="1" customWidth="1"/>
    <col min="3" max="3" width="15.875" bestFit="1" customWidth="1"/>
    <col min="4" max="4" width="10.125" bestFit="1" customWidth="1"/>
    <col min="5" max="5" width="10.25" bestFit="1" customWidth="1"/>
    <col min="6" max="6" width="8.125" bestFit="1" customWidth="1"/>
    <col min="7" max="7" width="13.875" bestFit="1" customWidth="1"/>
    <col min="8" max="8" width="9.875" bestFit="1" customWidth="1"/>
    <col min="9" max="9" width="15.625" bestFit="1" customWidth="1"/>
    <col min="10" max="10" width="9.875" bestFit="1" customWidth="1"/>
    <col min="11" max="11" width="15.625" bestFit="1" customWidth="1"/>
    <col min="12" max="12" width="12" bestFit="1" customWidth="1"/>
    <col min="13" max="13" width="13.75" bestFit="1" customWidth="1"/>
    <col min="14" max="14" width="9.5" bestFit="1" customWidth="1"/>
    <col min="15" max="15" width="13.375" bestFit="1" customWidth="1"/>
    <col min="16" max="16" width="9.125" bestFit="1" customWidth="1"/>
    <col min="17" max="17" width="6.125" bestFit="1" customWidth="1"/>
  </cols>
  <sheetData>
    <row r="1" spans="1:17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</row>
    <row r="2" spans="1:17" x14ac:dyDescent="0.25">
      <c r="A2" s="2">
        <v>1</v>
      </c>
      <c r="B2" s="2" t="s">
        <v>16</v>
      </c>
      <c r="C2" s="2" t="s">
        <v>17</v>
      </c>
      <c r="D2" s="3">
        <v>44306</v>
      </c>
      <c r="E2" s="2">
        <v>101.1</v>
      </c>
      <c r="F2" s="4">
        <v>73536</v>
      </c>
      <c r="G2" s="5">
        <v>0.27300000000000002</v>
      </c>
      <c r="H2" s="4">
        <v>73466</v>
      </c>
      <c r="I2" s="5">
        <v>0.33300000000000002</v>
      </c>
      <c r="J2" s="4">
        <v>31041</v>
      </c>
      <c r="K2" s="6">
        <v>0.79</v>
      </c>
      <c r="L2" s="4">
        <v>269043</v>
      </c>
      <c r="M2" s="2">
        <v>307.29000000000002</v>
      </c>
      <c r="N2" s="2">
        <v>2.54</v>
      </c>
      <c r="O2" s="2">
        <v>9.1999999999999993</v>
      </c>
      <c r="P2" s="2">
        <v>21.8</v>
      </c>
      <c r="Q2" s="2">
        <v>14.6</v>
      </c>
    </row>
    <row r="3" spans="1:17" x14ac:dyDescent="0.25">
      <c r="A3" s="2">
        <v>2</v>
      </c>
      <c r="B3" s="2" t="s">
        <v>18</v>
      </c>
      <c r="C3" s="2" t="s">
        <v>17</v>
      </c>
      <c r="D3" s="3">
        <v>44306</v>
      </c>
      <c r="E3" s="2">
        <v>106.13</v>
      </c>
      <c r="F3" s="4">
        <v>3515</v>
      </c>
      <c r="G3" s="6">
        <v>0.12</v>
      </c>
      <c r="H3" s="4">
        <v>3515</v>
      </c>
      <c r="I3" s="5">
        <v>0.158</v>
      </c>
      <c r="J3" s="4">
        <v>2193</v>
      </c>
      <c r="K3" s="5">
        <v>0.53300000000000003</v>
      </c>
      <c r="L3" s="4">
        <v>29210</v>
      </c>
      <c r="M3" s="2">
        <v>49.91</v>
      </c>
      <c r="N3" s="2">
        <v>2.92</v>
      </c>
      <c r="O3" s="2">
        <v>12.5</v>
      </c>
      <c r="P3" s="2">
        <v>14.6</v>
      </c>
      <c r="Q3" s="2">
        <v>14.09</v>
      </c>
    </row>
    <row r="4" spans="1:17" x14ac:dyDescent="0.25">
      <c r="A4" s="2">
        <v>3</v>
      </c>
      <c r="B4" s="2" t="s">
        <v>20</v>
      </c>
      <c r="C4" s="2" t="s">
        <v>19</v>
      </c>
      <c r="D4" s="3">
        <v>44306</v>
      </c>
      <c r="E4" s="2">
        <v>92.16</v>
      </c>
      <c r="F4" s="4">
        <v>36600</v>
      </c>
      <c r="G4" s="5">
        <v>0.20899999999999999</v>
      </c>
      <c r="H4" s="4">
        <v>36578</v>
      </c>
      <c r="I4" s="5">
        <v>0.26400000000000001</v>
      </c>
      <c r="J4" s="4">
        <v>19086</v>
      </c>
      <c r="K4" s="5">
        <v>0.58699999999999997</v>
      </c>
      <c r="L4" s="4">
        <v>174705</v>
      </c>
      <c r="M4" s="2">
        <v>230.3</v>
      </c>
      <c r="N4" s="2">
        <v>2.57</v>
      </c>
      <c r="O4" s="2">
        <v>14.2</v>
      </c>
      <c r="P4" s="2">
        <v>14.7</v>
      </c>
      <c r="Q4" s="2">
        <v>18.62</v>
      </c>
    </row>
    <row r="5" spans="1:17" x14ac:dyDescent="0.25">
      <c r="A5" s="2">
        <v>4</v>
      </c>
      <c r="B5" s="2" t="s">
        <v>21</v>
      </c>
      <c r="C5" s="2" t="s">
        <v>19</v>
      </c>
      <c r="D5" s="3">
        <v>44306</v>
      </c>
      <c r="E5" s="2">
        <v>67.37</v>
      </c>
      <c r="F5" s="4">
        <v>3903</v>
      </c>
      <c r="G5" s="5">
        <v>0.13800000000000001</v>
      </c>
      <c r="H5" s="4">
        <v>3903</v>
      </c>
      <c r="I5" s="5">
        <v>0.17199999999999999</v>
      </c>
      <c r="J5" s="4">
        <v>2541</v>
      </c>
      <c r="K5" s="5">
        <v>0.502</v>
      </c>
      <c r="L5" s="4">
        <v>28201</v>
      </c>
      <c r="M5" s="2">
        <v>95.93</v>
      </c>
      <c r="N5" s="2">
        <v>2.6</v>
      </c>
      <c r="O5" s="2">
        <v>12.4</v>
      </c>
      <c r="P5" s="2">
        <v>20.3</v>
      </c>
      <c r="Q5" s="2">
        <v>17.96</v>
      </c>
    </row>
    <row r="6" spans="1:17" x14ac:dyDescent="0.25">
      <c r="A6" s="2">
        <v>5</v>
      </c>
      <c r="B6" s="2" t="s">
        <v>22</v>
      </c>
      <c r="C6" s="2" t="s">
        <v>17</v>
      </c>
      <c r="D6" s="3">
        <v>44306</v>
      </c>
      <c r="E6" s="2">
        <v>145.69999999999999</v>
      </c>
      <c r="F6" s="4">
        <v>145978</v>
      </c>
      <c r="G6" s="5">
        <v>0.24299999999999999</v>
      </c>
      <c r="H6" s="4">
        <v>145898</v>
      </c>
      <c r="I6" s="5">
        <v>0.29599999999999999</v>
      </c>
      <c r="J6" s="4">
        <v>90943</v>
      </c>
      <c r="K6" s="5">
        <v>0.624</v>
      </c>
      <c r="L6" s="4">
        <v>601942</v>
      </c>
      <c r="M6" s="2">
        <v>593.05999999999995</v>
      </c>
      <c r="N6" s="2">
        <v>2.4900000000000002</v>
      </c>
      <c r="O6" s="2">
        <v>10.8</v>
      </c>
      <c r="P6" s="2">
        <v>12.7</v>
      </c>
      <c r="Q6" s="2">
        <v>24.21</v>
      </c>
    </row>
    <row r="7" spans="1:17" x14ac:dyDescent="0.25">
      <c r="A7" s="2">
        <v>6</v>
      </c>
      <c r="B7" s="2" t="s">
        <v>23</v>
      </c>
      <c r="C7" s="2" t="s">
        <v>17</v>
      </c>
      <c r="D7" s="3">
        <v>44306</v>
      </c>
      <c r="E7" s="2">
        <v>273.97000000000003</v>
      </c>
      <c r="F7" s="4">
        <v>463486</v>
      </c>
      <c r="G7" s="5">
        <v>0.23699999999999999</v>
      </c>
      <c r="H7" s="4">
        <v>462565</v>
      </c>
      <c r="I7" s="6">
        <v>0.3</v>
      </c>
      <c r="J7" s="4">
        <v>218360</v>
      </c>
      <c r="K7" s="5">
        <v>0.65300000000000002</v>
      </c>
      <c r="L7" s="4">
        <v>1952778</v>
      </c>
      <c r="M7" s="7">
        <v>1623.5</v>
      </c>
      <c r="N7" s="2">
        <v>2.77</v>
      </c>
      <c r="O7" s="2">
        <v>14.6</v>
      </c>
      <c r="P7" s="2">
        <v>13.5</v>
      </c>
      <c r="Q7" s="2">
        <v>17.13</v>
      </c>
    </row>
    <row r="8" spans="1:17" x14ac:dyDescent="0.25">
      <c r="A8" s="2">
        <v>7</v>
      </c>
      <c r="B8" s="2" t="s">
        <v>24</v>
      </c>
      <c r="C8" s="2" t="s">
        <v>25</v>
      </c>
      <c r="D8" s="3">
        <v>44306</v>
      </c>
      <c r="E8" s="2" t="s">
        <v>26</v>
      </c>
      <c r="F8" s="4">
        <v>2100</v>
      </c>
      <c r="G8" s="5">
        <v>0.14899999999999999</v>
      </c>
      <c r="H8" s="4">
        <v>2100</v>
      </c>
      <c r="I8" s="5">
        <v>0.186</v>
      </c>
      <c r="J8" s="4">
        <v>1396</v>
      </c>
      <c r="K8" s="5">
        <v>0.52300000000000002</v>
      </c>
      <c r="L8" s="4">
        <v>14105</v>
      </c>
      <c r="M8" s="2">
        <v>24.86</v>
      </c>
      <c r="N8" s="2">
        <v>2.73</v>
      </c>
      <c r="O8" s="2">
        <v>18.3</v>
      </c>
      <c r="P8" s="2">
        <v>12.2</v>
      </c>
      <c r="Q8" s="2">
        <v>18.93</v>
      </c>
    </row>
    <row r="9" spans="1:17" x14ac:dyDescent="0.25">
      <c r="A9" s="2">
        <v>8</v>
      </c>
      <c r="B9" s="2" t="s">
        <v>27</v>
      </c>
      <c r="C9" s="2" t="s">
        <v>17</v>
      </c>
      <c r="D9" s="3">
        <v>44306</v>
      </c>
      <c r="E9" s="2">
        <v>135.51</v>
      </c>
      <c r="F9" s="4">
        <v>63994</v>
      </c>
      <c r="G9" s="5">
        <v>0.33900000000000002</v>
      </c>
      <c r="H9" s="4">
        <v>63968</v>
      </c>
      <c r="I9" s="5">
        <v>0.38400000000000001</v>
      </c>
      <c r="J9" s="4">
        <v>50934</v>
      </c>
      <c r="K9" s="5">
        <v>0.66100000000000003</v>
      </c>
      <c r="L9" s="4">
        <v>188910</v>
      </c>
      <c r="M9" s="2">
        <v>277.36</v>
      </c>
      <c r="N9" s="2">
        <v>2.2799999999999998</v>
      </c>
      <c r="O9" s="2">
        <v>11.3</v>
      </c>
      <c r="P9" s="2">
        <v>11.1</v>
      </c>
      <c r="Q9" s="2">
        <v>40.799999999999997</v>
      </c>
    </row>
    <row r="10" spans="1:17" x14ac:dyDescent="0.25">
      <c r="A10" s="2">
        <v>9</v>
      </c>
      <c r="B10" s="2" t="s">
        <v>28</v>
      </c>
      <c r="C10" s="2" t="s">
        <v>17</v>
      </c>
      <c r="D10" s="3">
        <v>44306</v>
      </c>
      <c r="E10" s="2">
        <v>104.91</v>
      </c>
      <c r="F10" s="4">
        <v>40863</v>
      </c>
      <c r="G10" s="5">
        <v>0.27300000000000002</v>
      </c>
      <c r="H10" s="4">
        <v>40856</v>
      </c>
      <c r="I10" s="6">
        <v>0.32</v>
      </c>
      <c r="J10" s="4">
        <v>32970</v>
      </c>
      <c r="K10" s="6">
        <v>0.6</v>
      </c>
      <c r="L10" s="4">
        <v>149657</v>
      </c>
      <c r="M10" s="2">
        <v>257.18</v>
      </c>
      <c r="N10" s="2">
        <v>2.2400000000000002</v>
      </c>
      <c r="O10" s="2">
        <v>10.4</v>
      </c>
      <c r="P10" s="2">
        <v>16.7</v>
      </c>
      <c r="Q10" s="2">
        <v>36.71</v>
      </c>
    </row>
    <row r="11" spans="1:17" x14ac:dyDescent="0.25">
      <c r="A11" s="2">
        <v>10</v>
      </c>
      <c r="B11" s="2" t="s">
        <v>29</v>
      </c>
      <c r="C11" s="2" t="s">
        <v>17</v>
      </c>
      <c r="D11" s="3">
        <v>44306</v>
      </c>
      <c r="E11" s="2">
        <v>135.46</v>
      </c>
      <c r="F11" s="4">
        <v>39048</v>
      </c>
      <c r="G11" s="5">
        <v>0.17799999999999999</v>
      </c>
      <c r="H11" s="4">
        <v>39012</v>
      </c>
      <c r="I11" s="5">
        <v>0.23100000000000001</v>
      </c>
      <c r="J11" s="4">
        <v>20570</v>
      </c>
      <c r="K11" s="5">
        <v>0.57399999999999995</v>
      </c>
      <c r="L11" s="4">
        <v>219252</v>
      </c>
      <c r="M11" s="2">
        <v>362.63</v>
      </c>
      <c r="N11" s="2">
        <v>2.81</v>
      </c>
      <c r="O11" s="2">
        <v>10.4</v>
      </c>
      <c r="P11" s="2">
        <v>10.6</v>
      </c>
      <c r="Q11" s="2">
        <v>16.350000000000001</v>
      </c>
    </row>
    <row r="12" spans="1:17" x14ac:dyDescent="0.25">
      <c r="A12" s="2">
        <v>11</v>
      </c>
      <c r="B12" s="2" t="s">
        <v>30</v>
      </c>
      <c r="C12" s="2" t="s">
        <v>17</v>
      </c>
      <c r="D12" s="3">
        <v>44306</v>
      </c>
      <c r="E12" s="2">
        <v>175.89</v>
      </c>
      <c r="F12" s="4">
        <v>119492</v>
      </c>
      <c r="G12" s="6">
        <v>0.31</v>
      </c>
      <c r="H12" s="4">
        <v>119457</v>
      </c>
      <c r="I12" s="5">
        <v>0.373</v>
      </c>
      <c r="J12" s="4">
        <v>91017</v>
      </c>
      <c r="K12" s="5">
        <v>0.71799999999999997</v>
      </c>
      <c r="L12" s="4">
        <v>384902</v>
      </c>
      <c r="M12" s="2">
        <v>192.75</v>
      </c>
      <c r="N12" s="2">
        <v>2.5499999999999998</v>
      </c>
      <c r="O12" s="2">
        <v>16.5</v>
      </c>
      <c r="P12" s="2">
        <v>12.3</v>
      </c>
      <c r="Q12" s="2">
        <v>32.92</v>
      </c>
    </row>
    <row r="13" spans="1:17" x14ac:dyDescent="0.25">
      <c r="A13" s="2">
        <v>12</v>
      </c>
      <c r="B13" s="2" t="s">
        <v>31</v>
      </c>
      <c r="C13" s="2" t="s">
        <v>19</v>
      </c>
      <c r="D13" s="3">
        <v>44306</v>
      </c>
      <c r="E13" s="2">
        <v>78.12</v>
      </c>
      <c r="F13" s="4">
        <v>12359</v>
      </c>
      <c r="G13" s="5">
        <v>0.17199999999999999</v>
      </c>
      <c r="H13" s="4">
        <v>12356</v>
      </c>
      <c r="I13" s="6">
        <v>0.22</v>
      </c>
      <c r="J13" s="4">
        <v>7705</v>
      </c>
      <c r="K13" s="5">
        <v>0.55800000000000005</v>
      </c>
      <c r="L13" s="4">
        <v>71686</v>
      </c>
      <c r="M13" s="2">
        <v>89.88</v>
      </c>
      <c r="N13" s="2">
        <v>2.57</v>
      </c>
      <c r="O13" s="2">
        <v>12.4</v>
      </c>
      <c r="P13" s="2">
        <v>17.399999999999999</v>
      </c>
      <c r="Q13" s="2">
        <v>19.260000000000002</v>
      </c>
    </row>
    <row r="14" spans="1:17" x14ac:dyDescent="0.25">
      <c r="A14" s="2">
        <v>13</v>
      </c>
      <c r="B14" s="2" t="s">
        <v>32</v>
      </c>
      <c r="C14" s="2" t="s">
        <v>17</v>
      </c>
      <c r="D14" s="3">
        <v>44306</v>
      </c>
      <c r="E14" s="2">
        <v>147.36000000000001</v>
      </c>
      <c r="F14" s="4">
        <v>6130</v>
      </c>
      <c r="G14" s="5">
        <v>0.161</v>
      </c>
      <c r="H14" s="4">
        <v>6130</v>
      </c>
      <c r="I14" s="5">
        <v>0.19900000000000001</v>
      </c>
      <c r="J14" s="4">
        <v>4551</v>
      </c>
      <c r="K14" s="5">
        <v>0.53200000000000003</v>
      </c>
      <c r="L14" s="4">
        <v>38001</v>
      </c>
      <c r="M14" s="2">
        <v>59.68</v>
      </c>
      <c r="N14" s="2">
        <v>2.74</v>
      </c>
      <c r="O14" s="2">
        <v>18.399999999999999</v>
      </c>
      <c r="P14" s="2">
        <v>28.5</v>
      </c>
      <c r="Q14" s="2">
        <v>22.52</v>
      </c>
    </row>
    <row r="15" spans="1:17" x14ac:dyDescent="0.25">
      <c r="A15" s="2">
        <v>14</v>
      </c>
      <c r="B15" s="2" t="s">
        <v>33</v>
      </c>
      <c r="C15" s="2" t="s">
        <v>19</v>
      </c>
      <c r="D15" s="3">
        <v>44306</v>
      </c>
      <c r="E15" s="2">
        <v>65.38</v>
      </c>
      <c r="F15" s="4">
        <v>2499</v>
      </c>
      <c r="G15" s="5">
        <v>0.14899999999999999</v>
      </c>
      <c r="H15" s="4">
        <v>2499</v>
      </c>
      <c r="I15" s="5">
        <v>0.182</v>
      </c>
      <c r="J15" s="4">
        <v>1877</v>
      </c>
      <c r="K15" s="5">
        <v>0.47099999999999997</v>
      </c>
      <c r="L15" s="4">
        <v>16826</v>
      </c>
      <c r="M15" s="2">
        <v>23.86</v>
      </c>
      <c r="N15" s="2">
        <v>2.2799999999999998</v>
      </c>
      <c r="O15" s="2">
        <v>17.2</v>
      </c>
      <c r="P15" s="2">
        <v>23.1</v>
      </c>
      <c r="Q15" s="2">
        <v>23.68</v>
      </c>
    </row>
    <row r="16" spans="1:17" x14ac:dyDescent="0.25">
      <c r="A16" s="2">
        <v>15</v>
      </c>
      <c r="B16" s="2" t="s">
        <v>34</v>
      </c>
      <c r="C16" s="2" t="s">
        <v>17</v>
      </c>
      <c r="D16" s="3">
        <v>44306</v>
      </c>
      <c r="E16" s="2">
        <v>123.83</v>
      </c>
      <c r="F16" s="4">
        <v>226635</v>
      </c>
      <c r="G16" s="5">
        <v>0.23699999999999999</v>
      </c>
      <c r="H16" s="4">
        <v>226392</v>
      </c>
      <c r="I16" s="5">
        <v>0.30499999999999999</v>
      </c>
      <c r="J16" s="4">
        <v>97160</v>
      </c>
      <c r="K16" s="5">
        <v>0.70099999999999996</v>
      </c>
      <c r="L16" s="4">
        <v>957755</v>
      </c>
      <c r="M16" s="7">
        <v>1255.8599999999999</v>
      </c>
      <c r="N16" s="2">
        <v>2.5499999999999998</v>
      </c>
      <c r="O16" s="2">
        <v>12</v>
      </c>
      <c r="P16" s="2">
        <v>15.5</v>
      </c>
      <c r="Q16" s="2">
        <v>14.47</v>
      </c>
    </row>
    <row r="17" spans="1:17" x14ac:dyDescent="0.25">
      <c r="A17" s="2">
        <v>16</v>
      </c>
      <c r="B17" s="2" t="s">
        <v>35</v>
      </c>
      <c r="C17" s="2" t="s">
        <v>19</v>
      </c>
      <c r="D17" s="3">
        <v>44306</v>
      </c>
      <c r="E17" s="2">
        <v>84.19</v>
      </c>
      <c r="F17" s="4">
        <v>69248</v>
      </c>
      <c r="G17" s="5">
        <v>0.218</v>
      </c>
      <c r="H17" s="4">
        <v>69212</v>
      </c>
      <c r="I17" s="5">
        <v>0.27500000000000002</v>
      </c>
      <c r="J17" s="4">
        <v>35539</v>
      </c>
      <c r="K17" s="5">
        <v>0.65100000000000002</v>
      </c>
      <c r="L17" s="4">
        <v>318316</v>
      </c>
      <c r="M17" s="2">
        <v>484.52</v>
      </c>
      <c r="N17" s="2">
        <v>2.4700000000000002</v>
      </c>
      <c r="O17" s="2">
        <v>10.199999999999999</v>
      </c>
      <c r="P17" s="2">
        <v>13.9</v>
      </c>
      <c r="Q17" s="2">
        <v>17.14</v>
      </c>
    </row>
    <row r="18" spans="1:17" x14ac:dyDescent="0.25">
      <c r="A18" s="2">
        <v>17</v>
      </c>
      <c r="B18" s="2" t="s">
        <v>36</v>
      </c>
      <c r="C18" s="2" t="s">
        <v>17</v>
      </c>
      <c r="D18" s="3">
        <v>44306</v>
      </c>
      <c r="E18" s="2">
        <v>121.65</v>
      </c>
      <c r="F18" s="4">
        <v>33785</v>
      </c>
      <c r="G18" s="5">
        <v>0.29399999999999998</v>
      </c>
      <c r="H18" s="4">
        <v>33775</v>
      </c>
      <c r="I18" s="5">
        <v>0.35199999999999998</v>
      </c>
      <c r="J18" s="4">
        <v>24697</v>
      </c>
      <c r="K18" s="5">
        <v>0.68799999999999994</v>
      </c>
      <c r="L18" s="4">
        <v>115081</v>
      </c>
      <c r="M18" s="2">
        <v>237.21</v>
      </c>
      <c r="N18" s="2">
        <v>2.62</v>
      </c>
      <c r="O18" s="2">
        <v>12.7</v>
      </c>
      <c r="P18" s="2">
        <v>11.9</v>
      </c>
      <c r="Q18" s="2">
        <v>31.19</v>
      </c>
    </row>
    <row r="19" spans="1:17" x14ac:dyDescent="0.25">
      <c r="A19" s="2">
        <v>18</v>
      </c>
      <c r="B19" s="2" t="s">
        <v>37</v>
      </c>
      <c r="C19" s="2" t="s">
        <v>17</v>
      </c>
      <c r="D19" s="3">
        <v>44306</v>
      </c>
      <c r="E19" s="2" t="s">
        <v>26</v>
      </c>
      <c r="F19" s="4">
        <v>2928</v>
      </c>
      <c r="G19" s="5">
        <v>0.24099999999999999</v>
      </c>
      <c r="H19" s="4">
        <v>2928</v>
      </c>
      <c r="I19" s="5">
        <v>0.28499999999999998</v>
      </c>
      <c r="J19" s="4">
        <v>2060</v>
      </c>
      <c r="K19" s="5">
        <v>0.70399999999999996</v>
      </c>
      <c r="L19" s="4">
        <v>12125</v>
      </c>
      <c r="M19" s="2">
        <v>22.24</v>
      </c>
      <c r="N19" s="2">
        <v>2.35</v>
      </c>
      <c r="O19" s="2">
        <v>18.3</v>
      </c>
      <c r="P19" s="2">
        <v>20.7</v>
      </c>
      <c r="Q19" s="2">
        <v>24.13</v>
      </c>
    </row>
    <row r="20" spans="1:17" x14ac:dyDescent="0.25">
      <c r="A20" s="2">
        <v>19</v>
      </c>
      <c r="B20" s="2" t="s">
        <v>38</v>
      </c>
      <c r="C20" s="2" t="s">
        <v>19</v>
      </c>
      <c r="D20" s="3">
        <v>44306</v>
      </c>
      <c r="E20" s="2">
        <v>70.08</v>
      </c>
      <c r="F20" s="4">
        <v>11459</v>
      </c>
      <c r="G20" s="5">
        <v>0.251</v>
      </c>
      <c r="H20" s="4">
        <v>11453</v>
      </c>
      <c r="I20" s="6">
        <v>0.32</v>
      </c>
      <c r="J20" s="4">
        <v>5954</v>
      </c>
      <c r="K20" s="5">
        <v>0.69699999999999995</v>
      </c>
      <c r="L20" s="4">
        <v>45660</v>
      </c>
      <c r="M20" s="2">
        <v>88.44</v>
      </c>
      <c r="N20" s="2">
        <v>2.4700000000000002</v>
      </c>
      <c r="O20" s="2">
        <v>14.9</v>
      </c>
      <c r="P20" s="2">
        <v>24.6</v>
      </c>
      <c r="Q20" s="2">
        <v>18.7</v>
      </c>
    </row>
    <row r="21" spans="1:17" x14ac:dyDescent="0.25">
      <c r="A21" s="2">
        <v>20</v>
      </c>
      <c r="B21" s="2" t="s">
        <v>39</v>
      </c>
      <c r="C21" s="2" t="s">
        <v>17</v>
      </c>
      <c r="D21" s="3">
        <v>44306</v>
      </c>
      <c r="E21" s="2">
        <v>145.30000000000001</v>
      </c>
      <c r="F21" s="4">
        <v>2776</v>
      </c>
      <c r="G21" s="5">
        <v>0.14899999999999999</v>
      </c>
      <c r="H21" s="4">
        <v>2774</v>
      </c>
      <c r="I21" s="5">
        <v>0.186</v>
      </c>
      <c r="J21" s="4">
        <v>1833</v>
      </c>
      <c r="K21" s="5">
        <v>0.47799999999999998</v>
      </c>
      <c r="L21" s="4">
        <v>18582</v>
      </c>
      <c r="M21" s="2">
        <v>53.14</v>
      </c>
      <c r="N21" s="2">
        <v>2.5</v>
      </c>
      <c r="O21" s="2">
        <v>18.100000000000001</v>
      </c>
      <c r="P21" s="2">
        <v>17.899999999999999</v>
      </c>
      <c r="Q21" s="2">
        <v>20.65</v>
      </c>
    </row>
    <row r="22" spans="1:17" x14ac:dyDescent="0.25">
      <c r="A22" s="2">
        <v>21</v>
      </c>
      <c r="B22" s="2" t="s">
        <v>40</v>
      </c>
      <c r="C22" s="2" t="s">
        <v>19</v>
      </c>
      <c r="D22" s="3">
        <v>44306</v>
      </c>
      <c r="E22" s="2" t="s">
        <v>26</v>
      </c>
      <c r="F22" s="4">
        <v>1786</v>
      </c>
      <c r="G22" s="5">
        <v>0.129</v>
      </c>
      <c r="H22" s="4">
        <v>1786</v>
      </c>
      <c r="I22" s="5">
        <v>0.151</v>
      </c>
      <c r="J22" s="4">
        <v>1329</v>
      </c>
      <c r="K22" s="5">
        <v>0.34899999999999998</v>
      </c>
      <c r="L22" s="4">
        <v>13811</v>
      </c>
      <c r="M22" s="2">
        <v>17.12</v>
      </c>
      <c r="N22" s="2">
        <v>2.71</v>
      </c>
      <c r="O22" s="2">
        <v>19.899999999999999</v>
      </c>
      <c r="P22" s="2">
        <v>17</v>
      </c>
      <c r="Q22" s="2">
        <v>27.57</v>
      </c>
    </row>
    <row r="23" spans="1:17" x14ac:dyDescent="0.25">
      <c r="A23" s="2">
        <v>22</v>
      </c>
      <c r="B23" s="2" t="s">
        <v>41</v>
      </c>
      <c r="C23" s="2" t="s">
        <v>25</v>
      </c>
      <c r="D23" s="3">
        <v>44306</v>
      </c>
      <c r="E23" s="2" t="s">
        <v>26</v>
      </c>
      <c r="F23" s="4">
        <v>3152</v>
      </c>
      <c r="G23" s="5">
        <v>0.23100000000000001</v>
      </c>
      <c r="H23" s="4">
        <v>3152</v>
      </c>
      <c r="I23" s="5">
        <v>0.28299999999999997</v>
      </c>
      <c r="J23" s="4">
        <v>2302</v>
      </c>
      <c r="K23" s="5">
        <v>0.63700000000000001</v>
      </c>
      <c r="L23" s="4">
        <v>13639</v>
      </c>
      <c r="M23" s="2">
        <v>24.64</v>
      </c>
      <c r="N23" s="2">
        <v>2.5499999999999998</v>
      </c>
      <c r="O23" s="2">
        <v>11.4</v>
      </c>
      <c r="P23" s="2">
        <v>13.9</v>
      </c>
      <c r="Q23" s="2">
        <v>26.5</v>
      </c>
    </row>
    <row r="24" spans="1:17" x14ac:dyDescent="0.25">
      <c r="A24" s="2">
        <v>23</v>
      </c>
      <c r="B24" s="2" t="s">
        <v>42</v>
      </c>
      <c r="C24" s="2" t="s">
        <v>19</v>
      </c>
      <c r="D24" s="3">
        <v>44306</v>
      </c>
      <c r="E24" s="2">
        <v>76.239999999999995</v>
      </c>
      <c r="F24" s="4">
        <v>2261</v>
      </c>
      <c r="G24" s="5">
        <v>0.157</v>
      </c>
      <c r="H24" s="4">
        <v>2261</v>
      </c>
      <c r="I24" s="5">
        <v>0.19400000000000001</v>
      </c>
      <c r="J24" s="4">
        <v>1504</v>
      </c>
      <c r="K24" s="5">
        <v>0.56499999999999995</v>
      </c>
      <c r="L24" s="4">
        <v>14428</v>
      </c>
      <c r="M24" s="2">
        <v>28.08</v>
      </c>
      <c r="N24" s="2">
        <v>2.44</v>
      </c>
      <c r="O24" s="2">
        <v>14.3</v>
      </c>
      <c r="P24" s="2">
        <v>29.5</v>
      </c>
      <c r="Q24" s="2">
        <v>18.46</v>
      </c>
    </row>
    <row r="25" spans="1:17" x14ac:dyDescent="0.25">
      <c r="A25" s="2">
        <v>24</v>
      </c>
      <c r="B25" s="2" t="s">
        <v>43</v>
      </c>
      <c r="C25" s="2" t="s">
        <v>17</v>
      </c>
      <c r="D25" s="3">
        <v>44306</v>
      </c>
      <c r="E25" s="2">
        <v>170.77</v>
      </c>
      <c r="F25" s="4">
        <v>3226</v>
      </c>
      <c r="G25" s="6">
        <v>0.12</v>
      </c>
      <c r="H25" s="4">
        <v>3225</v>
      </c>
      <c r="I25" s="5">
        <v>0.161</v>
      </c>
      <c r="J25" s="4">
        <v>2364</v>
      </c>
      <c r="K25" s="5">
        <v>0.504</v>
      </c>
      <c r="L25" s="4">
        <v>26937</v>
      </c>
      <c r="M25" s="2">
        <v>42.25</v>
      </c>
      <c r="N25" s="2">
        <v>3.22</v>
      </c>
      <c r="O25" s="2">
        <v>12.2</v>
      </c>
      <c r="P25" s="2">
        <v>26.7</v>
      </c>
      <c r="Q25" s="2">
        <v>17.43</v>
      </c>
    </row>
    <row r="26" spans="1:17" x14ac:dyDescent="0.25">
      <c r="A26" s="2">
        <v>25</v>
      </c>
      <c r="B26" s="2" t="s">
        <v>44</v>
      </c>
      <c r="C26" s="2" t="s">
        <v>17</v>
      </c>
      <c r="D26" s="3">
        <v>44306</v>
      </c>
      <c r="E26" s="2">
        <v>104.71</v>
      </c>
      <c r="F26" s="4">
        <v>6261</v>
      </c>
      <c r="G26" s="5">
        <v>0.14899999999999999</v>
      </c>
      <c r="H26" s="4">
        <v>6258</v>
      </c>
      <c r="I26" s="5">
        <v>0.20300000000000001</v>
      </c>
      <c r="J26" s="4">
        <v>3587</v>
      </c>
      <c r="K26" s="5">
        <v>0.621</v>
      </c>
      <c r="L26" s="4">
        <v>42022</v>
      </c>
      <c r="M26" s="2">
        <v>36.340000000000003</v>
      </c>
      <c r="N26" s="2">
        <v>3.17</v>
      </c>
      <c r="O26" s="2">
        <v>26.2</v>
      </c>
      <c r="P26" s="2">
        <v>26.8</v>
      </c>
      <c r="Q26" s="2">
        <v>13.75</v>
      </c>
    </row>
    <row r="27" spans="1:17" x14ac:dyDescent="0.25">
      <c r="A27" s="2">
        <v>26</v>
      </c>
      <c r="B27" s="2" t="s">
        <v>45</v>
      </c>
      <c r="C27" s="2" t="s">
        <v>17</v>
      </c>
      <c r="D27" s="3">
        <v>44306</v>
      </c>
      <c r="E27" s="2">
        <v>188.74</v>
      </c>
      <c r="F27" s="4">
        <v>44070</v>
      </c>
      <c r="G27" s="5">
        <v>0.22700000000000001</v>
      </c>
      <c r="H27" s="4">
        <v>44051</v>
      </c>
      <c r="I27" s="5">
        <v>0.27800000000000002</v>
      </c>
      <c r="J27" s="4">
        <v>31260</v>
      </c>
      <c r="K27" s="5">
        <v>0.58599999999999997</v>
      </c>
      <c r="L27" s="4">
        <v>193920</v>
      </c>
      <c r="M27" s="2">
        <v>410.01</v>
      </c>
      <c r="N27" s="2">
        <v>2.46</v>
      </c>
      <c r="O27" s="2">
        <v>12.6</v>
      </c>
      <c r="P27" s="2">
        <v>14.3</v>
      </c>
      <c r="Q27" s="2">
        <v>27.51</v>
      </c>
    </row>
    <row r="28" spans="1:17" x14ac:dyDescent="0.25">
      <c r="A28" s="2">
        <v>27</v>
      </c>
      <c r="B28" s="2" t="s">
        <v>46</v>
      </c>
      <c r="C28" s="2" t="s">
        <v>17</v>
      </c>
      <c r="D28" s="3">
        <v>44306</v>
      </c>
      <c r="E28" s="2">
        <v>192.99</v>
      </c>
      <c r="F28" s="4">
        <v>24698</v>
      </c>
      <c r="G28" s="5">
        <v>0.23300000000000001</v>
      </c>
      <c r="H28" s="4">
        <v>24695</v>
      </c>
      <c r="I28" s="6">
        <v>0.28000000000000003</v>
      </c>
      <c r="J28" s="4">
        <v>19752</v>
      </c>
      <c r="K28" s="5">
        <v>0.51600000000000001</v>
      </c>
      <c r="L28" s="4">
        <v>106221</v>
      </c>
      <c r="M28" s="2">
        <v>104.38</v>
      </c>
      <c r="N28" s="2">
        <v>2.44</v>
      </c>
      <c r="O28" s="2">
        <v>12.7</v>
      </c>
      <c r="P28" s="2">
        <v>19.2</v>
      </c>
      <c r="Q28" s="2">
        <v>36.049999999999997</v>
      </c>
    </row>
    <row r="29" spans="1:17" x14ac:dyDescent="0.25">
      <c r="A29" s="2">
        <v>28</v>
      </c>
      <c r="B29" s="2" t="s">
        <v>47</v>
      </c>
      <c r="C29" s="2" t="s">
        <v>17</v>
      </c>
      <c r="D29" s="3">
        <v>44306</v>
      </c>
      <c r="E29" s="2">
        <v>233.29</v>
      </c>
      <c r="F29" s="4">
        <v>311087</v>
      </c>
      <c r="G29" s="5">
        <v>0.21099999999999999</v>
      </c>
      <c r="H29" s="4">
        <v>310781</v>
      </c>
      <c r="I29" s="5">
        <v>0.27100000000000002</v>
      </c>
      <c r="J29" s="4">
        <v>128588</v>
      </c>
      <c r="K29" s="5">
        <v>0.60099999999999998</v>
      </c>
      <c r="L29" s="4">
        <v>1471968</v>
      </c>
      <c r="M29" s="7">
        <v>1440.39</v>
      </c>
      <c r="N29" s="2">
        <v>2.63</v>
      </c>
      <c r="O29" s="2">
        <v>13</v>
      </c>
      <c r="P29" s="2">
        <v>15.3</v>
      </c>
      <c r="Q29" s="2">
        <v>14.54</v>
      </c>
    </row>
    <row r="30" spans="1:17" x14ac:dyDescent="0.25">
      <c r="A30" s="2">
        <v>29</v>
      </c>
      <c r="B30" s="2" t="s">
        <v>48</v>
      </c>
      <c r="C30" s="2" t="s">
        <v>25</v>
      </c>
      <c r="D30" s="3">
        <v>44306</v>
      </c>
      <c r="E30" s="2" t="s">
        <v>26</v>
      </c>
      <c r="F30" s="4">
        <v>2553</v>
      </c>
      <c r="G30" s="6">
        <v>0.13</v>
      </c>
      <c r="H30" s="4">
        <v>2552</v>
      </c>
      <c r="I30" s="5">
        <v>0.16300000000000001</v>
      </c>
      <c r="J30" s="4">
        <v>1715</v>
      </c>
      <c r="K30" s="5">
        <v>0.437</v>
      </c>
      <c r="L30" s="4">
        <v>19617</v>
      </c>
      <c r="M30" s="2">
        <v>40.97</v>
      </c>
      <c r="N30" s="2">
        <v>2.5099999999999998</v>
      </c>
      <c r="O30" s="2">
        <v>18.899999999999999</v>
      </c>
      <c r="P30" s="2">
        <v>25.6</v>
      </c>
      <c r="Q30" s="2">
        <v>19.989999999999998</v>
      </c>
    </row>
    <row r="31" spans="1:17" x14ac:dyDescent="0.25">
      <c r="A31" s="2">
        <v>30</v>
      </c>
      <c r="B31" s="2" t="s">
        <v>49</v>
      </c>
      <c r="C31" s="2" t="s">
        <v>17</v>
      </c>
      <c r="D31" s="3">
        <v>44306</v>
      </c>
      <c r="E31" s="2">
        <v>111.93</v>
      </c>
      <c r="F31" s="4">
        <v>47808</v>
      </c>
      <c r="G31" s="5">
        <v>0.29899999999999999</v>
      </c>
      <c r="H31" s="4">
        <v>47792</v>
      </c>
      <c r="I31" s="5">
        <v>0.35399999999999998</v>
      </c>
      <c r="J31" s="4">
        <v>36381</v>
      </c>
      <c r="K31" s="5">
        <v>0.67200000000000004</v>
      </c>
      <c r="L31" s="4">
        <v>159923</v>
      </c>
      <c r="M31" s="2">
        <v>318.08</v>
      </c>
      <c r="N31" s="2">
        <v>2.6</v>
      </c>
      <c r="O31" s="2">
        <v>12.1</v>
      </c>
      <c r="P31" s="2">
        <v>12.2</v>
      </c>
      <c r="Q31" s="2">
        <v>33.85</v>
      </c>
    </row>
    <row r="32" spans="1:17" x14ac:dyDescent="0.25">
      <c r="A32" s="2">
        <v>31</v>
      </c>
      <c r="B32" s="2" t="s">
        <v>50</v>
      </c>
      <c r="C32" s="2" t="s">
        <v>19</v>
      </c>
      <c r="D32" s="3">
        <v>44306</v>
      </c>
      <c r="E32" s="2">
        <v>58.17</v>
      </c>
      <c r="F32" s="4">
        <v>8658</v>
      </c>
      <c r="G32" s="5">
        <v>0.187</v>
      </c>
      <c r="H32" s="4">
        <v>8657</v>
      </c>
      <c r="I32" s="6">
        <v>0.23</v>
      </c>
      <c r="J32" s="4">
        <v>5193</v>
      </c>
      <c r="K32" s="5">
        <v>0.54300000000000004</v>
      </c>
      <c r="L32" s="4">
        <v>46414</v>
      </c>
      <c r="M32" s="2">
        <v>50.55</v>
      </c>
      <c r="N32" s="2">
        <v>2.4</v>
      </c>
      <c r="O32" s="2">
        <v>11.3</v>
      </c>
      <c r="P32" s="2">
        <v>20.6</v>
      </c>
      <c r="Q32" s="2">
        <v>20.62</v>
      </c>
    </row>
    <row r="33" spans="1:17" x14ac:dyDescent="0.25">
      <c r="A33" s="2">
        <v>32</v>
      </c>
      <c r="B33" s="2" t="s">
        <v>51</v>
      </c>
      <c r="C33" s="2" t="s">
        <v>17</v>
      </c>
      <c r="D33" s="3">
        <v>44306</v>
      </c>
      <c r="E33" s="2">
        <v>133.37</v>
      </c>
      <c r="F33" s="4">
        <v>4430</v>
      </c>
      <c r="G33" s="5">
        <v>0.311</v>
      </c>
      <c r="H33" s="4">
        <v>4430</v>
      </c>
      <c r="I33" s="5">
        <v>0.373</v>
      </c>
      <c r="J33" s="4">
        <v>3183</v>
      </c>
      <c r="K33" s="5">
        <v>0.90700000000000003</v>
      </c>
      <c r="L33" s="4">
        <v>14246</v>
      </c>
      <c r="M33" s="2">
        <v>23.82</v>
      </c>
      <c r="N33" s="2">
        <v>2.04</v>
      </c>
      <c r="O33" s="2">
        <v>6.4</v>
      </c>
      <c r="P33" s="2">
        <v>14.1</v>
      </c>
      <c r="Q33" s="2">
        <v>24.65</v>
      </c>
    </row>
    <row r="34" spans="1:17" x14ac:dyDescent="0.25">
      <c r="A34" s="2">
        <v>33</v>
      </c>
      <c r="B34" s="2" t="s">
        <v>52</v>
      </c>
      <c r="C34" s="2" t="s">
        <v>25</v>
      </c>
      <c r="D34" s="3">
        <v>44306</v>
      </c>
      <c r="E34" s="2" t="s">
        <v>26</v>
      </c>
      <c r="F34" s="4">
        <v>1295</v>
      </c>
      <c r="G34" s="5">
        <v>0.154</v>
      </c>
      <c r="H34" s="4">
        <v>1295</v>
      </c>
      <c r="I34" s="5">
        <v>0.192</v>
      </c>
      <c r="J34" s="4">
        <v>1058</v>
      </c>
      <c r="K34" s="5">
        <v>0.72699999999999998</v>
      </c>
      <c r="L34" s="4">
        <v>8422</v>
      </c>
      <c r="M34" s="2">
        <v>15.5</v>
      </c>
      <c r="N34" s="2">
        <v>3.43</v>
      </c>
      <c r="O34" s="2">
        <v>17.600000000000001</v>
      </c>
      <c r="P34" s="2">
        <v>20.100000000000001</v>
      </c>
      <c r="Q34" s="2">
        <v>17.28</v>
      </c>
    </row>
    <row r="35" spans="1:17" x14ac:dyDescent="0.25">
      <c r="A35" s="2">
        <v>34</v>
      </c>
      <c r="B35" s="2" t="s">
        <v>53</v>
      </c>
      <c r="C35" s="2" t="s">
        <v>17</v>
      </c>
      <c r="D35" s="3">
        <v>44306</v>
      </c>
      <c r="E35" s="2">
        <v>186.59</v>
      </c>
      <c r="F35" s="4">
        <v>106393</v>
      </c>
      <c r="G35" s="6">
        <v>0.28999999999999998</v>
      </c>
      <c r="H35" s="4">
        <v>106298</v>
      </c>
      <c r="I35" s="5">
        <v>0.35699999999999998</v>
      </c>
      <c r="J35" s="4">
        <v>74828</v>
      </c>
      <c r="K35" s="5">
        <v>0.753</v>
      </c>
      <c r="L35" s="4">
        <v>367118</v>
      </c>
      <c r="M35" s="2">
        <v>386.13</v>
      </c>
      <c r="N35" s="2">
        <v>2.5499999999999998</v>
      </c>
      <c r="O35" s="2">
        <v>11.6</v>
      </c>
      <c r="P35" s="2">
        <v>12.5</v>
      </c>
      <c r="Q35" s="2">
        <v>27.07</v>
      </c>
    </row>
    <row r="36" spans="1:17" x14ac:dyDescent="0.25">
      <c r="A36" s="2">
        <v>35</v>
      </c>
      <c r="B36" s="2" t="s">
        <v>54</v>
      </c>
      <c r="C36" s="2" t="s">
        <v>17</v>
      </c>
      <c r="D36" s="3">
        <v>44306</v>
      </c>
      <c r="E36" s="2">
        <v>212.7</v>
      </c>
      <c r="F36" s="4">
        <v>191878</v>
      </c>
      <c r="G36" s="5">
        <v>0.249</v>
      </c>
      <c r="H36" s="4">
        <v>191837</v>
      </c>
      <c r="I36" s="5">
        <v>0.30099999999999999</v>
      </c>
      <c r="J36" s="4">
        <v>143658</v>
      </c>
      <c r="K36" s="6">
        <v>0.64</v>
      </c>
      <c r="L36" s="4">
        <v>770577</v>
      </c>
      <c r="M36" s="2">
        <v>986.08</v>
      </c>
      <c r="N36" s="2">
        <v>2.61</v>
      </c>
      <c r="O36" s="2">
        <v>14.3</v>
      </c>
      <c r="P36" s="2">
        <v>14</v>
      </c>
      <c r="Q36" s="2">
        <v>29.15</v>
      </c>
    </row>
    <row r="37" spans="1:17" x14ac:dyDescent="0.25">
      <c r="A37" s="2">
        <v>36</v>
      </c>
      <c r="B37" s="2" t="s">
        <v>55</v>
      </c>
      <c r="C37" s="2" t="s">
        <v>19</v>
      </c>
      <c r="D37" s="3">
        <v>44306</v>
      </c>
      <c r="E37" s="2">
        <v>96.05</v>
      </c>
      <c r="F37" s="4">
        <v>69924</v>
      </c>
      <c r="G37" s="5">
        <v>0.23799999999999999</v>
      </c>
      <c r="H37" s="4">
        <v>69822</v>
      </c>
      <c r="I37" s="5">
        <v>0.29199999999999998</v>
      </c>
      <c r="J37" s="4">
        <v>31571</v>
      </c>
      <c r="K37" s="5">
        <v>0.77400000000000002</v>
      </c>
      <c r="L37" s="4">
        <v>293582</v>
      </c>
      <c r="M37" s="2">
        <v>440.23</v>
      </c>
      <c r="N37" s="2">
        <v>2.4300000000000002</v>
      </c>
      <c r="O37" s="2">
        <v>8.1999999999999993</v>
      </c>
      <c r="P37" s="2">
        <v>20.399999999999999</v>
      </c>
      <c r="Q37" s="2">
        <v>13.89</v>
      </c>
    </row>
    <row r="38" spans="1:17" x14ac:dyDescent="0.25">
      <c r="A38" s="2">
        <v>37</v>
      </c>
      <c r="B38" s="2" t="s">
        <v>56</v>
      </c>
      <c r="C38" s="2" t="s">
        <v>17</v>
      </c>
      <c r="D38" s="3">
        <v>44306</v>
      </c>
      <c r="E38" s="2">
        <v>207.21</v>
      </c>
      <c r="F38" s="4">
        <v>7534</v>
      </c>
      <c r="G38" s="5">
        <v>0.182</v>
      </c>
      <c r="H38" s="4">
        <v>7529</v>
      </c>
      <c r="I38" s="5">
        <v>0.22500000000000001</v>
      </c>
      <c r="J38" s="4">
        <v>5335</v>
      </c>
      <c r="K38" s="5">
        <v>0.51100000000000001</v>
      </c>
      <c r="L38" s="4">
        <v>41503</v>
      </c>
      <c r="M38" s="2">
        <v>37.119999999999997</v>
      </c>
      <c r="N38" s="2">
        <v>2.41</v>
      </c>
      <c r="O38" s="2">
        <v>15.5</v>
      </c>
      <c r="P38" s="2">
        <v>20.7</v>
      </c>
      <c r="Q38" s="2">
        <v>25.15</v>
      </c>
    </row>
    <row r="39" spans="1:17" x14ac:dyDescent="0.25">
      <c r="A39" s="2">
        <v>38</v>
      </c>
      <c r="B39" s="2" t="s">
        <v>57</v>
      </c>
      <c r="C39" s="2" t="s">
        <v>25</v>
      </c>
      <c r="D39" s="3">
        <v>44306</v>
      </c>
      <c r="E39" s="2" t="s">
        <v>26</v>
      </c>
      <c r="F39" s="4">
        <v>1167</v>
      </c>
      <c r="G39" s="6">
        <v>0.14000000000000001</v>
      </c>
      <c r="H39" s="4">
        <v>1167</v>
      </c>
      <c r="I39" s="5">
        <v>0.16900000000000001</v>
      </c>
      <c r="J39" s="2">
        <v>706</v>
      </c>
      <c r="K39" s="5">
        <v>0.56200000000000006</v>
      </c>
      <c r="L39" s="4">
        <v>8354</v>
      </c>
      <c r="M39" s="2">
        <v>10</v>
      </c>
      <c r="N39" s="2">
        <v>2.9</v>
      </c>
      <c r="O39" s="2">
        <v>18.5</v>
      </c>
      <c r="P39" s="2">
        <v>13</v>
      </c>
      <c r="Q39" s="2">
        <v>15.04</v>
      </c>
    </row>
    <row r="40" spans="1:17" x14ac:dyDescent="0.25">
      <c r="A40" s="2">
        <v>39</v>
      </c>
      <c r="B40" s="2" t="s">
        <v>58</v>
      </c>
      <c r="C40" s="2" t="s">
        <v>25</v>
      </c>
      <c r="D40" s="3">
        <v>44306</v>
      </c>
      <c r="E40" s="2" t="s">
        <v>26</v>
      </c>
      <c r="F40" s="4">
        <v>3792</v>
      </c>
      <c r="G40" s="5">
        <v>0.20499999999999999</v>
      </c>
      <c r="H40" s="4">
        <v>3791</v>
      </c>
      <c r="I40" s="5">
        <v>0.251</v>
      </c>
      <c r="J40" s="4">
        <v>2428</v>
      </c>
      <c r="K40" s="5">
        <v>0.622</v>
      </c>
      <c r="L40" s="4">
        <v>18493</v>
      </c>
      <c r="M40" s="2">
        <v>26.55</v>
      </c>
      <c r="N40" s="2">
        <v>2.4500000000000002</v>
      </c>
      <c r="O40" s="2">
        <v>13.1</v>
      </c>
      <c r="P40" s="2">
        <v>28.2</v>
      </c>
      <c r="Q40" s="2">
        <v>21.1</v>
      </c>
    </row>
    <row r="41" spans="1:17" x14ac:dyDescent="0.25">
      <c r="A41" s="2">
        <v>40</v>
      </c>
      <c r="B41" s="2" t="s">
        <v>59</v>
      </c>
      <c r="C41" s="2" t="s">
        <v>17</v>
      </c>
      <c r="D41" s="3">
        <v>44306</v>
      </c>
      <c r="E41" s="2">
        <v>213.02</v>
      </c>
      <c r="F41" s="4">
        <v>99714</v>
      </c>
      <c r="G41" s="5">
        <v>0.247</v>
      </c>
      <c r="H41" s="4">
        <v>99689</v>
      </c>
      <c r="I41" s="5">
        <v>0.30099999999999999</v>
      </c>
      <c r="J41" s="4">
        <v>71832</v>
      </c>
      <c r="K41" s="5">
        <v>0.63500000000000001</v>
      </c>
      <c r="L41" s="4">
        <v>403253</v>
      </c>
      <c r="M41" s="2">
        <v>542.28</v>
      </c>
      <c r="N41" s="2">
        <v>2.57</v>
      </c>
      <c r="O41" s="2">
        <v>12.7</v>
      </c>
      <c r="P41" s="2">
        <v>12.5</v>
      </c>
      <c r="Q41" s="2">
        <v>28.06</v>
      </c>
    </row>
    <row r="42" spans="1:17" x14ac:dyDescent="0.25">
      <c r="A42" s="2">
        <v>41</v>
      </c>
      <c r="B42" s="2" t="s">
        <v>60</v>
      </c>
      <c r="C42" s="2" t="s">
        <v>17</v>
      </c>
      <c r="D42" s="3">
        <v>44306</v>
      </c>
      <c r="E42" s="2">
        <v>109.69</v>
      </c>
      <c r="F42" s="4">
        <v>89344</v>
      </c>
      <c r="G42" s="5">
        <v>0.24399999999999999</v>
      </c>
      <c r="H42" s="4">
        <v>89318</v>
      </c>
      <c r="I42" s="6">
        <v>0.3</v>
      </c>
      <c r="J42" s="4">
        <v>64995</v>
      </c>
      <c r="K42" s="5">
        <v>0.60899999999999999</v>
      </c>
      <c r="L42" s="4">
        <v>365579</v>
      </c>
      <c r="M42" s="2">
        <v>230.15</v>
      </c>
      <c r="N42" s="2">
        <v>2.48</v>
      </c>
      <c r="O42" s="2">
        <v>12.3</v>
      </c>
      <c r="P42" s="2">
        <v>16.600000000000001</v>
      </c>
      <c r="Q42" s="2">
        <v>29.18</v>
      </c>
    </row>
    <row r="43" spans="1:17" x14ac:dyDescent="0.25">
      <c r="A43" s="2">
        <v>42</v>
      </c>
      <c r="B43" s="2" t="s">
        <v>61</v>
      </c>
      <c r="C43" s="2" t="s">
        <v>17</v>
      </c>
      <c r="D43" s="3">
        <v>44306</v>
      </c>
      <c r="E43" s="2">
        <v>134.16</v>
      </c>
      <c r="F43" s="4">
        <v>47897</v>
      </c>
      <c r="G43" s="5">
        <v>0.29699999999999999</v>
      </c>
      <c r="H43" s="4">
        <v>47877</v>
      </c>
      <c r="I43" s="5">
        <v>0.35499999999999998</v>
      </c>
      <c r="J43" s="4">
        <v>36283</v>
      </c>
      <c r="K43" s="5">
        <v>0.71499999999999997</v>
      </c>
      <c r="L43" s="4">
        <v>161000</v>
      </c>
      <c r="M43" s="2">
        <v>296.05</v>
      </c>
      <c r="N43" s="2">
        <v>2.41</v>
      </c>
      <c r="O43" s="2">
        <v>11.5</v>
      </c>
      <c r="P43" s="2">
        <v>10.5</v>
      </c>
      <c r="Q43" s="2">
        <v>31.53</v>
      </c>
    </row>
    <row r="44" spans="1:17" x14ac:dyDescent="0.25">
      <c r="A44" s="2">
        <v>43</v>
      </c>
      <c r="B44" s="2" t="s">
        <v>62</v>
      </c>
      <c r="C44" s="2" t="s">
        <v>17</v>
      </c>
      <c r="D44" s="3">
        <v>44306</v>
      </c>
      <c r="E44" s="2">
        <v>368.61</v>
      </c>
      <c r="F44" s="4">
        <v>687013</v>
      </c>
      <c r="G44" s="5">
        <v>0.253</v>
      </c>
      <c r="H44" s="4">
        <v>685536</v>
      </c>
      <c r="I44" s="5">
        <v>0.316</v>
      </c>
      <c r="J44" s="4">
        <v>298133</v>
      </c>
      <c r="K44" s="5">
        <v>0.65900000000000003</v>
      </c>
      <c r="L44" s="4">
        <v>2716940</v>
      </c>
      <c r="M44" s="7">
        <v>1430.09</v>
      </c>
      <c r="N44" s="2">
        <v>3.07</v>
      </c>
      <c r="O44" s="2">
        <v>18.100000000000001</v>
      </c>
      <c r="P44" s="2">
        <v>18</v>
      </c>
      <c r="Q44" s="2">
        <v>16.66</v>
      </c>
    </row>
    <row r="45" spans="1:17" x14ac:dyDescent="0.25">
      <c r="A45" s="2">
        <v>44</v>
      </c>
      <c r="B45" s="2" t="s">
        <v>63</v>
      </c>
      <c r="C45" s="2" t="s">
        <v>17</v>
      </c>
      <c r="D45" s="3">
        <v>44306</v>
      </c>
      <c r="E45" s="2">
        <v>134.72</v>
      </c>
      <c r="F45" s="4">
        <v>21894</v>
      </c>
      <c r="G45" s="5">
        <v>0.29499999999999998</v>
      </c>
      <c r="H45" s="4">
        <v>21885</v>
      </c>
      <c r="I45" s="5">
        <v>0.34799999999999998</v>
      </c>
      <c r="J45" s="4">
        <v>13445</v>
      </c>
      <c r="K45" s="5">
        <v>0.76300000000000001</v>
      </c>
      <c r="L45" s="4">
        <v>74228</v>
      </c>
      <c r="M45" s="2">
        <v>75.510000000000005</v>
      </c>
      <c r="N45" s="2">
        <v>2.39</v>
      </c>
      <c r="O45" s="2">
        <v>17.8</v>
      </c>
      <c r="P45" s="2">
        <v>11.8</v>
      </c>
      <c r="Q45" s="2">
        <v>23.75</v>
      </c>
    </row>
    <row r="46" spans="1:17" x14ac:dyDescent="0.25">
      <c r="A46" s="2">
        <v>45</v>
      </c>
      <c r="B46" s="2" t="s">
        <v>64</v>
      </c>
      <c r="C46" s="2" t="s">
        <v>17</v>
      </c>
      <c r="D46" s="3">
        <v>44306</v>
      </c>
      <c r="E46" s="2">
        <v>102.68</v>
      </c>
      <c r="F46" s="4">
        <v>25238</v>
      </c>
      <c r="G46" s="5">
        <v>0.28499999999999998</v>
      </c>
      <c r="H46" s="4">
        <v>25224</v>
      </c>
      <c r="I46" s="5">
        <v>0.35399999999999998</v>
      </c>
      <c r="J46" s="4">
        <v>15586</v>
      </c>
      <c r="K46" s="6">
        <v>0.77</v>
      </c>
      <c r="L46" s="4">
        <v>88625</v>
      </c>
      <c r="M46" s="2">
        <v>136.62</v>
      </c>
      <c r="N46" s="2">
        <v>2.5499999999999998</v>
      </c>
      <c r="O46" s="2">
        <v>11</v>
      </c>
      <c r="P46" s="2">
        <v>10.199999999999999</v>
      </c>
      <c r="Q46" s="2">
        <v>22.83</v>
      </c>
    </row>
    <row r="47" spans="1:17" x14ac:dyDescent="0.25">
      <c r="A47" s="2">
        <v>46</v>
      </c>
      <c r="B47" s="2" t="s">
        <v>65</v>
      </c>
      <c r="C47" s="2" t="s">
        <v>19</v>
      </c>
      <c r="D47" s="3">
        <v>44306</v>
      </c>
      <c r="E47" s="2">
        <v>93.48</v>
      </c>
      <c r="F47" s="4">
        <v>45036</v>
      </c>
      <c r="G47" s="5">
        <v>0.214</v>
      </c>
      <c r="H47" s="4">
        <v>45011</v>
      </c>
      <c r="I47" s="5">
        <v>0.27500000000000002</v>
      </c>
      <c r="J47" s="4">
        <v>24296</v>
      </c>
      <c r="K47" s="5">
        <v>0.70699999999999996</v>
      </c>
      <c r="L47" s="4">
        <v>210738</v>
      </c>
      <c r="M47" s="2">
        <v>226.55</v>
      </c>
      <c r="N47" s="2">
        <v>2.52</v>
      </c>
      <c r="O47" s="2">
        <v>12.2</v>
      </c>
      <c r="P47" s="2">
        <v>11.5</v>
      </c>
      <c r="Q47" s="2">
        <v>16.309999999999999</v>
      </c>
    </row>
    <row r="48" spans="1:17" x14ac:dyDescent="0.25">
      <c r="A48" s="2">
        <v>47</v>
      </c>
      <c r="B48" s="2" t="s">
        <v>66</v>
      </c>
      <c r="C48" s="2" t="s">
        <v>17</v>
      </c>
      <c r="D48" s="3">
        <v>44306</v>
      </c>
      <c r="E48" s="2">
        <v>135.16999999999999</v>
      </c>
      <c r="F48" s="4">
        <v>6969</v>
      </c>
      <c r="G48" s="5">
        <v>0.16500000000000001</v>
      </c>
      <c r="H48" s="4">
        <v>6967</v>
      </c>
      <c r="I48" s="6">
        <v>0.21</v>
      </c>
      <c r="J48" s="4">
        <v>5336</v>
      </c>
      <c r="K48" s="5">
        <v>0.629</v>
      </c>
      <c r="L48" s="4">
        <v>42168</v>
      </c>
      <c r="M48" s="2">
        <v>54.82</v>
      </c>
      <c r="N48" s="2">
        <v>2.73</v>
      </c>
      <c r="O48" s="2">
        <v>18.100000000000001</v>
      </c>
      <c r="P48" s="2">
        <v>22.7</v>
      </c>
      <c r="Q48" s="2">
        <v>20.12</v>
      </c>
    </row>
    <row r="49" spans="1:17" x14ac:dyDescent="0.25">
      <c r="A49" s="2">
        <v>48</v>
      </c>
      <c r="B49" s="2" t="s">
        <v>67</v>
      </c>
      <c r="C49" s="2" t="s">
        <v>17</v>
      </c>
      <c r="D49" s="3">
        <v>44306</v>
      </c>
      <c r="E49" s="2">
        <v>227.78</v>
      </c>
      <c r="F49" s="4">
        <v>297494</v>
      </c>
      <c r="G49" s="5">
        <v>0.21299999999999999</v>
      </c>
      <c r="H49" s="4">
        <v>296808</v>
      </c>
      <c r="I49" s="5">
        <v>0.27300000000000002</v>
      </c>
      <c r="J49" s="4">
        <v>116089</v>
      </c>
      <c r="K49" s="5">
        <v>0.67700000000000005</v>
      </c>
      <c r="L49" s="4">
        <v>1393452</v>
      </c>
      <c r="M49" s="7">
        <v>1545.08</v>
      </c>
      <c r="N49" s="2">
        <v>2.81</v>
      </c>
      <c r="O49" s="2">
        <v>14.5</v>
      </c>
      <c r="P49" s="2">
        <v>16.100000000000001</v>
      </c>
      <c r="Q49" s="2">
        <v>12.31</v>
      </c>
    </row>
    <row r="50" spans="1:17" x14ac:dyDescent="0.25">
      <c r="A50" s="2">
        <v>49</v>
      </c>
      <c r="B50" s="2" t="s">
        <v>68</v>
      </c>
      <c r="C50" s="2" t="s">
        <v>17</v>
      </c>
      <c r="D50" s="3">
        <v>44306</v>
      </c>
      <c r="E50" s="2">
        <v>312.17</v>
      </c>
      <c r="F50" s="4">
        <v>72232</v>
      </c>
      <c r="G50" s="5">
        <v>0.192</v>
      </c>
      <c r="H50" s="4">
        <v>72156</v>
      </c>
      <c r="I50" s="5">
        <v>0.253</v>
      </c>
      <c r="J50" s="4">
        <v>34599</v>
      </c>
      <c r="K50" s="5">
        <v>0.68100000000000005</v>
      </c>
      <c r="L50" s="4">
        <v>375751</v>
      </c>
      <c r="M50" s="2">
        <v>283.04000000000002</v>
      </c>
      <c r="N50" s="2">
        <v>3.4</v>
      </c>
      <c r="O50" s="2">
        <v>15.8</v>
      </c>
      <c r="P50" s="2">
        <v>16.3</v>
      </c>
      <c r="Q50" s="2">
        <v>13.52</v>
      </c>
    </row>
    <row r="51" spans="1:17" x14ac:dyDescent="0.25">
      <c r="A51" s="2">
        <v>50</v>
      </c>
      <c r="B51" s="2" t="s">
        <v>69</v>
      </c>
      <c r="C51" s="2" t="s">
        <v>17</v>
      </c>
      <c r="D51" s="3">
        <v>44306</v>
      </c>
      <c r="E51" s="2">
        <v>191.01</v>
      </c>
      <c r="F51" s="4">
        <v>386012</v>
      </c>
      <c r="G51" s="5">
        <v>0.25800000000000001</v>
      </c>
      <c r="H51" s="4">
        <v>385609</v>
      </c>
      <c r="I51" s="5">
        <v>0.318</v>
      </c>
      <c r="J51" s="4">
        <v>245369</v>
      </c>
      <c r="K51" s="5">
        <v>0.67300000000000004</v>
      </c>
      <c r="L51" s="4">
        <v>1496770</v>
      </c>
      <c r="M51" s="2">
        <v>761.99</v>
      </c>
      <c r="N51" s="2">
        <v>2.6</v>
      </c>
      <c r="O51" s="2">
        <v>13.6</v>
      </c>
      <c r="P51" s="2">
        <v>12.8</v>
      </c>
      <c r="Q51" s="2">
        <v>24.36</v>
      </c>
    </row>
    <row r="52" spans="1:17" x14ac:dyDescent="0.25">
      <c r="A52" s="2">
        <v>51</v>
      </c>
      <c r="B52" s="2" t="s">
        <v>70</v>
      </c>
      <c r="C52" s="2" t="s">
        <v>17</v>
      </c>
      <c r="D52" s="3">
        <v>44306</v>
      </c>
      <c r="E52" s="2">
        <v>200.74</v>
      </c>
      <c r="F52" s="4">
        <v>121479</v>
      </c>
      <c r="G52" s="5">
        <v>0.219</v>
      </c>
      <c r="H52" s="4">
        <v>121403</v>
      </c>
      <c r="I52" s="5">
        <v>0.27500000000000002</v>
      </c>
      <c r="J52" s="4">
        <v>74821</v>
      </c>
      <c r="K52" s="5">
        <v>0.59599999999999997</v>
      </c>
      <c r="L52" s="4">
        <v>553947</v>
      </c>
      <c r="M52" s="2">
        <v>741.98</v>
      </c>
      <c r="N52" s="2">
        <v>2.52</v>
      </c>
      <c r="O52" s="2">
        <v>11.8</v>
      </c>
      <c r="P52" s="2">
        <v>13.5</v>
      </c>
      <c r="Q52" s="2">
        <v>22.65</v>
      </c>
    </row>
    <row r="53" spans="1:17" x14ac:dyDescent="0.25">
      <c r="A53" s="2">
        <v>52</v>
      </c>
      <c r="B53" s="2" t="s">
        <v>71</v>
      </c>
      <c r="C53" s="2" t="s">
        <v>17</v>
      </c>
      <c r="D53" s="3">
        <v>44306</v>
      </c>
      <c r="E53" s="2">
        <v>162.15</v>
      </c>
      <c r="F53" s="4">
        <v>274093</v>
      </c>
      <c r="G53" s="5">
        <v>0.28100000000000003</v>
      </c>
      <c r="H53" s="4">
        <v>273914</v>
      </c>
      <c r="I53" s="5">
        <v>0.33400000000000002</v>
      </c>
      <c r="J53" s="4">
        <v>160213</v>
      </c>
      <c r="K53" s="5">
        <v>0.64700000000000002</v>
      </c>
      <c r="L53" s="4">
        <v>974996</v>
      </c>
      <c r="M53" s="7">
        <v>3561.28</v>
      </c>
      <c r="N53" s="2">
        <v>2.31</v>
      </c>
      <c r="O53" s="2">
        <v>11.5</v>
      </c>
      <c r="P53" s="2">
        <v>13</v>
      </c>
      <c r="Q53" s="2">
        <v>25.4</v>
      </c>
    </row>
    <row r="54" spans="1:17" x14ac:dyDescent="0.25">
      <c r="A54" s="2">
        <v>53</v>
      </c>
      <c r="B54" s="2" t="s">
        <v>72</v>
      </c>
      <c r="C54" s="2" t="s">
        <v>17</v>
      </c>
      <c r="D54" s="3">
        <v>44306</v>
      </c>
      <c r="E54" s="2">
        <v>232.07</v>
      </c>
      <c r="F54" s="4">
        <v>137120</v>
      </c>
      <c r="G54" s="5">
        <v>0.189</v>
      </c>
      <c r="H54" s="4">
        <v>137031</v>
      </c>
      <c r="I54" s="5">
        <v>0.24199999999999999</v>
      </c>
      <c r="J54" s="4">
        <v>85415</v>
      </c>
      <c r="K54" s="5">
        <v>0.57599999999999996</v>
      </c>
      <c r="L54" s="4">
        <v>724777</v>
      </c>
      <c r="M54" s="2">
        <v>403.21</v>
      </c>
      <c r="N54" s="2">
        <v>2.84</v>
      </c>
      <c r="O54" s="2">
        <v>13.2</v>
      </c>
      <c r="P54" s="2">
        <v>16.600000000000001</v>
      </c>
      <c r="Q54" s="2">
        <v>20.440000000000001</v>
      </c>
    </row>
    <row r="55" spans="1:17" x14ac:dyDescent="0.25">
      <c r="A55" s="2">
        <v>54</v>
      </c>
      <c r="B55" s="2" t="s">
        <v>73</v>
      </c>
      <c r="C55" s="2" t="s">
        <v>17</v>
      </c>
      <c r="D55" s="3">
        <v>44306</v>
      </c>
      <c r="E55" s="2">
        <v>163.71</v>
      </c>
      <c r="F55" s="4">
        <v>11614</v>
      </c>
      <c r="G55" s="5">
        <v>0.156</v>
      </c>
      <c r="H55" s="4">
        <v>11611</v>
      </c>
      <c r="I55" s="5">
        <v>0.19800000000000001</v>
      </c>
      <c r="J55" s="4">
        <v>7995</v>
      </c>
      <c r="K55" s="5">
        <v>0.45200000000000001</v>
      </c>
      <c r="L55" s="4">
        <v>74521</v>
      </c>
      <c r="M55" s="2">
        <v>102.38</v>
      </c>
      <c r="N55" s="2">
        <v>2.52</v>
      </c>
      <c r="O55" s="2">
        <v>16</v>
      </c>
      <c r="P55" s="2">
        <v>24.8</v>
      </c>
      <c r="Q55" s="2">
        <v>23.72</v>
      </c>
    </row>
    <row r="56" spans="1:17" x14ac:dyDescent="0.25">
      <c r="A56" s="2">
        <v>55</v>
      </c>
      <c r="B56" s="2" t="s">
        <v>74</v>
      </c>
      <c r="C56" s="2" t="s">
        <v>25</v>
      </c>
      <c r="D56" s="3">
        <v>44306</v>
      </c>
      <c r="E56" s="2">
        <v>46.12</v>
      </c>
      <c r="F56" s="4">
        <v>35329</v>
      </c>
      <c r="G56" s="5">
        <v>0.192</v>
      </c>
      <c r="H56" s="4">
        <v>35293</v>
      </c>
      <c r="I56" s="5">
        <v>0.245</v>
      </c>
      <c r="J56" s="4">
        <v>19921</v>
      </c>
      <c r="K56" s="5">
        <v>0.66100000000000003</v>
      </c>
      <c r="L56" s="4">
        <v>184313</v>
      </c>
      <c r="M56" s="2">
        <v>182.06</v>
      </c>
      <c r="N56" s="2">
        <v>2.68</v>
      </c>
      <c r="O56" s="2">
        <v>10</v>
      </c>
      <c r="P56" s="2">
        <v>9.8000000000000007</v>
      </c>
      <c r="Q56" s="2">
        <v>16.34</v>
      </c>
    </row>
    <row r="57" spans="1:17" x14ac:dyDescent="0.25">
      <c r="A57" s="2">
        <v>56</v>
      </c>
      <c r="B57" s="2" t="s">
        <v>75</v>
      </c>
      <c r="C57" s="2" t="s">
        <v>17</v>
      </c>
      <c r="D57" s="3">
        <v>44306</v>
      </c>
      <c r="E57" s="2">
        <v>179.6</v>
      </c>
      <c r="F57" s="4">
        <v>144412</v>
      </c>
      <c r="G57" s="5">
        <v>0.33300000000000002</v>
      </c>
      <c r="H57" s="4">
        <v>144342</v>
      </c>
      <c r="I57" s="5">
        <v>0.38700000000000001</v>
      </c>
      <c r="J57" s="4">
        <v>111679</v>
      </c>
      <c r="K57" s="6">
        <v>0.69</v>
      </c>
      <c r="L57" s="4">
        <v>433742</v>
      </c>
      <c r="M57" s="2">
        <v>780.13</v>
      </c>
      <c r="N57" s="2">
        <v>2.25</v>
      </c>
      <c r="O57" s="2">
        <v>11.4</v>
      </c>
      <c r="P57" s="2">
        <v>9.6999999999999993</v>
      </c>
      <c r="Q57" s="2">
        <v>37.340000000000003</v>
      </c>
    </row>
    <row r="58" spans="1:17" x14ac:dyDescent="0.25">
      <c r="A58" s="2">
        <v>57</v>
      </c>
      <c r="B58" s="2" t="s">
        <v>76</v>
      </c>
      <c r="C58" s="2" t="s">
        <v>17</v>
      </c>
      <c r="D58" s="3">
        <v>44306</v>
      </c>
      <c r="E58" s="2">
        <v>204.95</v>
      </c>
      <c r="F58" s="4">
        <v>97847</v>
      </c>
      <c r="G58" s="5">
        <v>0.20699999999999999</v>
      </c>
      <c r="H58" s="4">
        <v>97684</v>
      </c>
      <c r="I58" s="5">
        <v>0.26100000000000001</v>
      </c>
      <c r="J58" s="4">
        <v>47564</v>
      </c>
      <c r="K58" s="5">
        <v>0.63100000000000001</v>
      </c>
      <c r="L58" s="4">
        <v>471826</v>
      </c>
      <c r="M58" s="7">
        <v>1525.34</v>
      </c>
      <c r="N58" s="2">
        <v>2.7</v>
      </c>
      <c r="O58" s="2">
        <v>10.4</v>
      </c>
      <c r="P58" s="2">
        <v>11.4</v>
      </c>
      <c r="Q58" s="2">
        <v>15.98</v>
      </c>
    </row>
    <row r="59" spans="1:17" x14ac:dyDescent="0.25">
      <c r="A59" s="2">
        <v>58</v>
      </c>
      <c r="B59" s="2" t="s">
        <v>77</v>
      </c>
      <c r="C59" s="2" t="s">
        <v>17</v>
      </c>
      <c r="D59" s="3">
        <v>44306</v>
      </c>
      <c r="E59" s="2">
        <v>114.86</v>
      </c>
      <c r="F59" s="4">
        <v>84283</v>
      </c>
      <c r="G59" s="5">
        <v>0.318</v>
      </c>
      <c r="H59" s="4">
        <v>84135</v>
      </c>
      <c r="I59" s="5">
        <v>0.40600000000000003</v>
      </c>
      <c r="J59" s="4">
        <v>45506</v>
      </c>
      <c r="K59" s="5">
        <v>0.83299999999999996</v>
      </c>
      <c r="L59" s="4">
        <v>264672</v>
      </c>
      <c r="M59" s="2">
        <v>440.71</v>
      </c>
      <c r="N59" s="2">
        <v>2.7</v>
      </c>
      <c r="O59" s="2">
        <v>8.4</v>
      </c>
      <c r="P59" s="2">
        <v>8.4</v>
      </c>
      <c r="Q59" s="2">
        <v>20.65</v>
      </c>
    </row>
    <row r="60" spans="1:17" x14ac:dyDescent="0.25">
      <c r="A60" s="2">
        <v>59</v>
      </c>
      <c r="B60" s="2" t="s">
        <v>78</v>
      </c>
      <c r="C60" s="2" t="s">
        <v>17</v>
      </c>
      <c r="D60" s="3">
        <v>44306</v>
      </c>
      <c r="E60" s="2">
        <v>154.43</v>
      </c>
      <c r="F60" s="4">
        <v>69705</v>
      </c>
      <c r="G60" s="5">
        <v>0.21199999999999999</v>
      </c>
      <c r="H60" s="4">
        <v>69685</v>
      </c>
      <c r="I60" s="5">
        <v>0.26400000000000001</v>
      </c>
      <c r="J60" s="4">
        <v>48188</v>
      </c>
      <c r="K60" s="5">
        <v>0.59499999999999997</v>
      </c>
      <c r="L60" s="4">
        <v>328297</v>
      </c>
      <c r="M60" s="2">
        <v>574.29999999999995</v>
      </c>
      <c r="N60" s="2">
        <v>2.68</v>
      </c>
      <c r="O60" s="2">
        <v>14</v>
      </c>
      <c r="P60" s="2">
        <v>15</v>
      </c>
      <c r="Q60" s="2">
        <v>24.65</v>
      </c>
    </row>
    <row r="61" spans="1:17" x14ac:dyDescent="0.25">
      <c r="A61" s="2">
        <v>60</v>
      </c>
      <c r="B61" s="2" t="s">
        <v>79</v>
      </c>
      <c r="C61" s="2" t="s">
        <v>19</v>
      </c>
      <c r="D61" s="3">
        <v>44306</v>
      </c>
      <c r="E61" s="2">
        <v>79.290000000000006</v>
      </c>
      <c r="F61" s="4">
        <v>70751</v>
      </c>
      <c r="G61" s="5">
        <v>0.53400000000000003</v>
      </c>
      <c r="H61" s="4">
        <v>70741</v>
      </c>
      <c r="I61" s="5">
        <v>0.57499999999999996</v>
      </c>
      <c r="J61" s="4">
        <v>61649</v>
      </c>
      <c r="K61" s="6">
        <v>0.8</v>
      </c>
      <c r="L61" s="4">
        <v>132420</v>
      </c>
      <c r="M61" s="2">
        <v>237.68</v>
      </c>
      <c r="N61" s="2">
        <v>2.04</v>
      </c>
      <c r="O61" s="2">
        <v>6.2</v>
      </c>
      <c r="P61" s="2">
        <v>8.8000000000000007</v>
      </c>
      <c r="Q61" s="2">
        <v>58.17</v>
      </c>
    </row>
    <row r="62" spans="1:17" x14ac:dyDescent="0.25">
      <c r="A62" s="2">
        <v>61</v>
      </c>
      <c r="B62" s="2" t="s">
        <v>80</v>
      </c>
      <c r="C62" s="2" t="s">
        <v>19</v>
      </c>
      <c r="D62" s="3">
        <v>44306</v>
      </c>
      <c r="E62" s="2">
        <v>76.55</v>
      </c>
      <c r="F62" s="4">
        <v>7342</v>
      </c>
      <c r="G62" s="5">
        <v>0.16500000000000001</v>
      </c>
      <c r="H62" s="4">
        <v>7340</v>
      </c>
      <c r="I62" s="5">
        <v>0.20899999999999999</v>
      </c>
      <c r="J62" s="4">
        <v>5200</v>
      </c>
      <c r="K62" s="5">
        <v>0.53900000000000003</v>
      </c>
      <c r="L62" s="4">
        <v>44417</v>
      </c>
      <c r="M62" s="2">
        <v>64.510000000000005</v>
      </c>
      <c r="N62" s="2">
        <v>2.81</v>
      </c>
      <c r="O62" s="2">
        <v>13.9</v>
      </c>
      <c r="P62" s="2">
        <v>17.8</v>
      </c>
      <c r="Q62" s="2">
        <v>21.73</v>
      </c>
    </row>
    <row r="63" spans="1:17" x14ac:dyDescent="0.25">
      <c r="A63" s="2">
        <v>62</v>
      </c>
      <c r="B63" s="2" t="s">
        <v>81</v>
      </c>
      <c r="C63" s="2" t="s">
        <v>25</v>
      </c>
      <c r="D63" s="3">
        <v>44306</v>
      </c>
      <c r="E63" s="2" t="s">
        <v>26</v>
      </c>
      <c r="F63" s="4">
        <v>3337</v>
      </c>
      <c r="G63" s="5">
        <v>0.155</v>
      </c>
      <c r="H63" s="4">
        <v>3335</v>
      </c>
      <c r="I63" s="5">
        <v>0.193</v>
      </c>
      <c r="J63" s="4">
        <v>2292</v>
      </c>
      <c r="K63" s="5">
        <v>0.50700000000000001</v>
      </c>
      <c r="L63" s="4">
        <v>21569</v>
      </c>
      <c r="M63" s="2">
        <v>20.67</v>
      </c>
      <c r="N63" s="2">
        <v>2.4700000000000002</v>
      </c>
      <c r="O63" s="2">
        <v>10.9</v>
      </c>
      <c r="P63" s="2">
        <v>19.8</v>
      </c>
      <c r="Q63" s="2">
        <v>20.98</v>
      </c>
    </row>
    <row r="64" spans="1:17" x14ac:dyDescent="0.25">
      <c r="A64" s="2">
        <v>63</v>
      </c>
      <c r="B64" s="2" t="s">
        <v>82</v>
      </c>
      <c r="C64" s="2" t="s">
        <v>19</v>
      </c>
      <c r="D64" s="3">
        <v>44306</v>
      </c>
      <c r="E64" s="2">
        <v>85.32</v>
      </c>
      <c r="F64" s="4">
        <v>1687</v>
      </c>
      <c r="G64" s="5">
        <v>0.111</v>
      </c>
      <c r="H64" s="4">
        <v>1687</v>
      </c>
      <c r="I64" s="5">
        <v>0.13800000000000001</v>
      </c>
      <c r="J64" s="4">
        <v>1110</v>
      </c>
      <c r="K64" s="5">
        <v>0.47899999999999998</v>
      </c>
      <c r="L64" s="4">
        <v>15237</v>
      </c>
      <c r="M64" s="2">
        <v>62.56</v>
      </c>
      <c r="N64" s="2">
        <v>2.5</v>
      </c>
      <c r="O64" s="2">
        <v>12.4</v>
      </c>
      <c r="P64" s="2">
        <v>22</v>
      </c>
      <c r="Q64" s="2">
        <v>15.21</v>
      </c>
    </row>
    <row r="65" spans="1:17" x14ac:dyDescent="0.25">
      <c r="A65" s="2">
        <v>64</v>
      </c>
      <c r="B65" s="2" t="s">
        <v>83</v>
      </c>
      <c r="C65" s="2" t="s">
        <v>17</v>
      </c>
      <c r="D65" s="3">
        <v>44306</v>
      </c>
      <c r="E65" s="2">
        <v>215.08</v>
      </c>
      <c r="F65" s="4">
        <v>132338</v>
      </c>
      <c r="G65" s="5">
        <v>0.23899999999999999</v>
      </c>
      <c r="H65" s="4">
        <v>132287</v>
      </c>
      <c r="I65" s="6">
        <v>0.28999999999999998</v>
      </c>
      <c r="J65" s="4">
        <v>89226</v>
      </c>
      <c r="K65" s="5">
        <v>0.64700000000000002</v>
      </c>
      <c r="L65" s="4">
        <v>553284</v>
      </c>
      <c r="M65" s="2">
        <v>502.42</v>
      </c>
      <c r="N65" s="2">
        <v>2.4300000000000002</v>
      </c>
      <c r="O65" s="2">
        <v>12.5</v>
      </c>
      <c r="P65" s="2">
        <v>15.2</v>
      </c>
      <c r="Q65" s="2">
        <v>24.91</v>
      </c>
    </row>
    <row r="66" spans="1:17" x14ac:dyDescent="0.25">
      <c r="A66" s="2">
        <v>65</v>
      </c>
      <c r="B66" s="2" t="s">
        <v>84</v>
      </c>
      <c r="C66" s="2" t="s">
        <v>17</v>
      </c>
      <c r="D66" s="3">
        <v>44306</v>
      </c>
      <c r="E66" s="2">
        <v>157.09</v>
      </c>
      <c r="F66" s="4">
        <v>6494</v>
      </c>
      <c r="G66" s="5">
        <v>0.192</v>
      </c>
      <c r="H66" s="4">
        <v>6489</v>
      </c>
      <c r="I66" s="5">
        <v>0.24299999999999999</v>
      </c>
      <c r="J66" s="4">
        <v>3880</v>
      </c>
      <c r="K66" s="5">
        <v>0.72299999999999998</v>
      </c>
      <c r="L66" s="4">
        <v>33739</v>
      </c>
      <c r="M66" s="2">
        <v>55.64</v>
      </c>
      <c r="N66" s="2">
        <v>2.56</v>
      </c>
      <c r="O66" s="2">
        <v>9</v>
      </c>
      <c r="P66" s="2">
        <v>11.5</v>
      </c>
      <c r="Q66" s="2">
        <v>15.9</v>
      </c>
    </row>
    <row r="67" spans="1:17" x14ac:dyDescent="0.25">
      <c r="A67" s="2">
        <v>66</v>
      </c>
      <c r="B67" s="2" t="s">
        <v>85</v>
      </c>
      <c r="C67" s="2" t="s">
        <v>17</v>
      </c>
      <c r="D67" s="3">
        <v>44306</v>
      </c>
      <c r="E67" s="2">
        <v>132.31</v>
      </c>
      <c r="F67" s="4">
        <v>14279</v>
      </c>
      <c r="G67" s="5">
        <v>0.193</v>
      </c>
      <c r="H67" s="4">
        <v>14275</v>
      </c>
      <c r="I67" s="5">
        <v>0.24199999999999999</v>
      </c>
      <c r="J67" s="4">
        <v>8950</v>
      </c>
      <c r="K67" s="5">
        <v>0.59799999999999998</v>
      </c>
      <c r="L67" s="4">
        <v>74071</v>
      </c>
      <c r="M67" s="2">
        <v>71.38</v>
      </c>
      <c r="N67" s="2">
        <v>2.42</v>
      </c>
      <c r="O67" s="2">
        <v>13.5</v>
      </c>
      <c r="P67" s="2">
        <v>14.7</v>
      </c>
      <c r="Q67" s="2">
        <v>20.22</v>
      </c>
    </row>
    <row r="68" spans="1:17" x14ac:dyDescent="0.25">
      <c r="A68" s="1">
        <v>67</v>
      </c>
      <c r="B68" s="2" t="s">
        <v>86</v>
      </c>
      <c r="C68" s="2" t="s">
        <v>25</v>
      </c>
      <c r="D68" s="3">
        <v>44306</v>
      </c>
      <c r="E68" s="2" t="s">
        <v>26</v>
      </c>
      <c r="F68" s="4">
        <v>3152</v>
      </c>
      <c r="G68" s="5">
        <v>0.124</v>
      </c>
      <c r="H68" s="4">
        <v>3149</v>
      </c>
      <c r="I68" s="5">
        <v>0.154</v>
      </c>
      <c r="J68" s="4">
        <v>2007</v>
      </c>
      <c r="K68" s="5">
        <v>0.45800000000000002</v>
      </c>
      <c r="L68" s="4">
        <v>25473</v>
      </c>
      <c r="M68" s="2">
        <v>43.57</v>
      </c>
      <c r="N68" s="2">
        <v>2.57</v>
      </c>
      <c r="O68" s="2">
        <v>12.8</v>
      </c>
      <c r="P68" s="2">
        <v>22.4</v>
      </c>
      <c r="Q68" s="2">
        <v>17.2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Q69"/>
  <sheetViews>
    <sheetView workbookViewId="0">
      <selection activeCell="P20" sqref="P20"/>
    </sheetView>
  </sheetViews>
  <sheetFormatPr defaultRowHeight="15.75" x14ac:dyDescent="0.25"/>
  <cols>
    <col min="1" max="1" width="2.375" bestFit="1" customWidth="1"/>
    <col min="2" max="2" width="9.5" bestFit="1" customWidth="1"/>
    <col min="3" max="3" width="15.875" bestFit="1" customWidth="1"/>
    <col min="4" max="4" width="10.125" bestFit="1" customWidth="1"/>
    <col min="5" max="5" width="10.25" bestFit="1" customWidth="1"/>
    <col min="6" max="6" width="8.125" bestFit="1" customWidth="1"/>
    <col min="7" max="7" width="13.875" bestFit="1" customWidth="1"/>
    <col min="8" max="8" width="9.875" bestFit="1" customWidth="1"/>
    <col min="9" max="9" width="15.625" bestFit="1" customWidth="1"/>
    <col min="10" max="10" width="9.875" bestFit="1" customWidth="1"/>
    <col min="11" max="11" width="15.625" bestFit="1" customWidth="1"/>
    <col min="12" max="12" width="12" bestFit="1" customWidth="1"/>
    <col min="13" max="13" width="13.75" bestFit="1" customWidth="1"/>
    <col min="14" max="14" width="9.5" bestFit="1" customWidth="1"/>
    <col min="15" max="15" width="13.375" bestFit="1" customWidth="1"/>
    <col min="16" max="16" width="9.125" bestFit="1" customWidth="1"/>
    <col min="17" max="17" width="6.125" bestFit="1" customWidth="1"/>
  </cols>
  <sheetData>
    <row r="1" spans="1:17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</row>
    <row r="2" spans="1:17" x14ac:dyDescent="0.25">
      <c r="A2" s="2">
        <v>1</v>
      </c>
      <c r="B2" s="2" t="s">
        <v>16</v>
      </c>
      <c r="C2" s="2" t="s">
        <v>17</v>
      </c>
      <c r="D2" s="3">
        <v>44307</v>
      </c>
      <c r="E2" s="2">
        <v>110.39</v>
      </c>
      <c r="F2" s="4">
        <v>76109</v>
      </c>
      <c r="G2" s="5">
        <v>0.28299999999999997</v>
      </c>
      <c r="H2" s="4">
        <v>76035</v>
      </c>
      <c r="I2" s="5">
        <v>0.34399999999999997</v>
      </c>
      <c r="J2" s="4">
        <v>31409</v>
      </c>
      <c r="K2" s="6">
        <v>0.8</v>
      </c>
      <c r="L2" s="4">
        <v>269043</v>
      </c>
      <c r="M2" s="2">
        <v>307.29000000000002</v>
      </c>
      <c r="N2" s="2">
        <v>2.54</v>
      </c>
      <c r="O2" s="2">
        <v>9.1999999999999993</v>
      </c>
      <c r="P2" s="2">
        <v>21.8</v>
      </c>
      <c r="Q2" s="2">
        <v>14.6</v>
      </c>
    </row>
    <row r="3" spans="1:17" x14ac:dyDescent="0.25">
      <c r="A3" s="2">
        <v>2</v>
      </c>
      <c r="B3" s="2" t="s">
        <v>18</v>
      </c>
      <c r="C3" s="2" t="s">
        <v>17</v>
      </c>
      <c r="D3" s="3">
        <v>44307</v>
      </c>
      <c r="E3" s="2">
        <v>123.25</v>
      </c>
      <c r="F3" s="4">
        <v>3570</v>
      </c>
      <c r="G3" s="5">
        <v>0.122</v>
      </c>
      <c r="H3" s="4">
        <v>3570</v>
      </c>
      <c r="I3" s="5">
        <v>0.161</v>
      </c>
      <c r="J3" s="4">
        <v>2204</v>
      </c>
      <c r="K3" s="5">
        <v>0.53500000000000003</v>
      </c>
      <c r="L3" s="4">
        <v>29210</v>
      </c>
      <c r="M3" s="2">
        <v>49.91</v>
      </c>
      <c r="N3" s="2">
        <v>2.92</v>
      </c>
      <c r="O3" s="2">
        <v>12.5</v>
      </c>
      <c r="P3" s="2">
        <v>14.6</v>
      </c>
      <c r="Q3" s="2">
        <v>14.09</v>
      </c>
    </row>
    <row r="4" spans="1:17" x14ac:dyDescent="0.25">
      <c r="A4" s="2">
        <v>3</v>
      </c>
      <c r="B4" s="2" t="s">
        <v>20</v>
      </c>
      <c r="C4" s="2" t="s">
        <v>19</v>
      </c>
      <c r="D4" s="3">
        <v>44307</v>
      </c>
      <c r="E4" s="2">
        <v>93.3</v>
      </c>
      <c r="F4" s="4">
        <v>36807</v>
      </c>
      <c r="G4" s="5">
        <v>0.21099999999999999</v>
      </c>
      <c r="H4" s="4">
        <v>36785</v>
      </c>
      <c r="I4" s="5">
        <v>0.26500000000000001</v>
      </c>
      <c r="J4" s="4">
        <v>19130</v>
      </c>
      <c r="K4" s="5">
        <v>0.58799999999999997</v>
      </c>
      <c r="L4" s="4">
        <v>174705</v>
      </c>
      <c r="M4" s="2">
        <v>230.3</v>
      </c>
      <c r="N4" s="2">
        <v>2.57</v>
      </c>
      <c r="O4" s="2">
        <v>14.2</v>
      </c>
      <c r="P4" s="2">
        <v>14.7</v>
      </c>
      <c r="Q4" s="2">
        <v>18.62</v>
      </c>
    </row>
    <row r="5" spans="1:17" x14ac:dyDescent="0.25">
      <c r="A5" s="2">
        <v>4</v>
      </c>
      <c r="B5" s="2" t="s">
        <v>21</v>
      </c>
      <c r="C5" s="2" t="s">
        <v>25</v>
      </c>
      <c r="D5" s="3">
        <v>44307</v>
      </c>
      <c r="E5" s="2">
        <v>49.64</v>
      </c>
      <c r="F5" s="4">
        <v>3920</v>
      </c>
      <c r="G5" s="5">
        <v>0.13900000000000001</v>
      </c>
      <c r="H5" s="4">
        <v>3920</v>
      </c>
      <c r="I5" s="5">
        <v>0.17199999999999999</v>
      </c>
      <c r="J5" s="4">
        <v>2544</v>
      </c>
      <c r="K5" s="5">
        <v>0.502</v>
      </c>
      <c r="L5" s="4">
        <v>28201</v>
      </c>
      <c r="M5" s="2">
        <v>95.93</v>
      </c>
      <c r="N5" s="2">
        <v>2.6</v>
      </c>
      <c r="O5" s="2">
        <v>12.4</v>
      </c>
      <c r="P5" s="2">
        <v>20.3</v>
      </c>
      <c r="Q5" s="2">
        <v>17.96</v>
      </c>
    </row>
    <row r="6" spans="1:17" x14ac:dyDescent="0.25">
      <c r="A6" s="2">
        <v>5</v>
      </c>
      <c r="B6" s="2" t="s">
        <v>22</v>
      </c>
      <c r="C6" s="2" t="s">
        <v>17</v>
      </c>
      <c r="D6" s="3">
        <v>44307</v>
      </c>
      <c r="E6" s="2">
        <v>152.34</v>
      </c>
      <c r="F6" s="4">
        <v>148333</v>
      </c>
      <c r="G6" s="5">
        <v>0.246</v>
      </c>
      <c r="H6" s="4">
        <v>148253</v>
      </c>
      <c r="I6" s="5">
        <v>0.30099999999999999</v>
      </c>
      <c r="J6" s="4">
        <v>91730</v>
      </c>
      <c r="K6" s="5">
        <v>0.629</v>
      </c>
      <c r="L6" s="4">
        <v>601942</v>
      </c>
      <c r="M6" s="2">
        <v>593.05999999999995</v>
      </c>
      <c r="N6" s="2">
        <v>2.4900000000000002</v>
      </c>
      <c r="O6" s="2">
        <v>10.8</v>
      </c>
      <c r="P6" s="2">
        <v>12.7</v>
      </c>
      <c r="Q6" s="2">
        <v>24.21</v>
      </c>
    </row>
    <row r="7" spans="1:17" x14ac:dyDescent="0.25">
      <c r="A7" s="2">
        <v>6</v>
      </c>
      <c r="B7" s="2" t="s">
        <v>23</v>
      </c>
      <c r="C7" s="2" t="s">
        <v>17</v>
      </c>
      <c r="D7" s="3">
        <v>44307</v>
      </c>
      <c r="E7" s="2">
        <v>292.76</v>
      </c>
      <c r="F7" s="4">
        <v>471059</v>
      </c>
      <c r="G7" s="5">
        <v>0.24099999999999999</v>
      </c>
      <c r="H7" s="4">
        <v>470106</v>
      </c>
      <c r="I7" s="5">
        <v>0.30499999999999999</v>
      </c>
      <c r="J7" s="4">
        <v>219106</v>
      </c>
      <c r="K7" s="5">
        <v>0.65500000000000003</v>
      </c>
      <c r="L7" s="4">
        <v>1952778</v>
      </c>
      <c r="M7" s="7">
        <v>1623.5</v>
      </c>
      <c r="N7" s="2">
        <v>2.77</v>
      </c>
      <c r="O7" s="2">
        <v>14.6</v>
      </c>
      <c r="P7" s="2">
        <v>13.5</v>
      </c>
      <c r="Q7" s="2">
        <v>17.13</v>
      </c>
    </row>
    <row r="8" spans="1:17" x14ac:dyDescent="0.25">
      <c r="A8" s="2">
        <v>7</v>
      </c>
      <c r="B8" s="2" t="s">
        <v>24</v>
      </c>
      <c r="C8" s="2" t="s">
        <v>25</v>
      </c>
      <c r="D8" s="3">
        <v>44307</v>
      </c>
      <c r="E8" s="2" t="s">
        <v>26</v>
      </c>
      <c r="F8" s="4">
        <v>2105</v>
      </c>
      <c r="G8" s="5">
        <v>0.14899999999999999</v>
      </c>
      <c r="H8" s="4">
        <v>2105</v>
      </c>
      <c r="I8" s="5">
        <v>0.186</v>
      </c>
      <c r="J8" s="4">
        <v>1396</v>
      </c>
      <c r="K8" s="5">
        <v>0.52300000000000002</v>
      </c>
      <c r="L8" s="4">
        <v>14105</v>
      </c>
      <c r="M8" s="2">
        <v>24.86</v>
      </c>
      <c r="N8" s="2">
        <v>2.73</v>
      </c>
      <c r="O8" s="2">
        <v>18.3</v>
      </c>
      <c r="P8" s="2">
        <v>12.2</v>
      </c>
      <c r="Q8" s="2">
        <v>18.93</v>
      </c>
    </row>
    <row r="9" spans="1:17" x14ac:dyDescent="0.25">
      <c r="A9" s="2">
        <v>8</v>
      </c>
      <c r="B9" s="2" t="s">
        <v>27</v>
      </c>
      <c r="C9" s="2" t="s">
        <v>17</v>
      </c>
      <c r="D9" s="3">
        <v>44307</v>
      </c>
      <c r="E9" s="2">
        <v>144.51</v>
      </c>
      <c r="F9" s="4">
        <v>64987</v>
      </c>
      <c r="G9" s="5">
        <v>0.34399999999999997</v>
      </c>
      <c r="H9" s="4">
        <v>64959</v>
      </c>
      <c r="I9" s="6">
        <v>0.39</v>
      </c>
      <c r="J9" s="4">
        <v>51461</v>
      </c>
      <c r="K9" s="5">
        <v>0.66800000000000004</v>
      </c>
      <c r="L9" s="4">
        <v>188910</v>
      </c>
      <c r="M9" s="2">
        <v>277.36</v>
      </c>
      <c r="N9" s="2">
        <v>2.2799999999999998</v>
      </c>
      <c r="O9" s="2">
        <v>11.3</v>
      </c>
      <c r="P9" s="2">
        <v>11.1</v>
      </c>
      <c r="Q9" s="2">
        <v>40.799999999999997</v>
      </c>
    </row>
    <row r="10" spans="1:17" x14ac:dyDescent="0.25">
      <c r="A10" s="2">
        <v>9</v>
      </c>
      <c r="B10" s="2" t="s">
        <v>28</v>
      </c>
      <c r="C10" s="2" t="s">
        <v>17</v>
      </c>
      <c r="D10" s="3">
        <v>44307</v>
      </c>
      <c r="E10" s="2">
        <v>118.94</v>
      </c>
      <c r="F10" s="4">
        <v>41769</v>
      </c>
      <c r="G10" s="5">
        <v>0.27900000000000003</v>
      </c>
      <c r="H10" s="4">
        <v>41762</v>
      </c>
      <c r="I10" s="5">
        <v>0.32700000000000001</v>
      </c>
      <c r="J10" s="4">
        <v>33364</v>
      </c>
      <c r="K10" s="5">
        <v>0.60699999999999998</v>
      </c>
      <c r="L10" s="4">
        <v>149657</v>
      </c>
      <c r="M10" s="2">
        <v>257.18</v>
      </c>
      <c r="N10" s="2">
        <v>2.2400000000000002</v>
      </c>
      <c r="O10" s="2">
        <v>10.4</v>
      </c>
      <c r="P10" s="2">
        <v>16.7</v>
      </c>
      <c r="Q10" s="2">
        <v>36.71</v>
      </c>
    </row>
    <row r="11" spans="1:17" x14ac:dyDescent="0.25">
      <c r="A11" s="2">
        <v>10</v>
      </c>
      <c r="B11" s="2" t="s">
        <v>29</v>
      </c>
      <c r="C11" s="2" t="s">
        <v>17</v>
      </c>
      <c r="D11" s="3">
        <v>44307</v>
      </c>
      <c r="E11" s="2">
        <v>151.88</v>
      </c>
      <c r="F11" s="4">
        <v>39674</v>
      </c>
      <c r="G11" s="5">
        <v>0.18099999999999999</v>
      </c>
      <c r="H11" s="4">
        <v>39637</v>
      </c>
      <c r="I11" s="5">
        <v>0.23499999999999999</v>
      </c>
      <c r="J11" s="4">
        <v>20639</v>
      </c>
      <c r="K11" s="5">
        <v>0.57599999999999996</v>
      </c>
      <c r="L11" s="4">
        <v>219252</v>
      </c>
      <c r="M11" s="2">
        <v>362.63</v>
      </c>
      <c r="N11" s="2">
        <v>2.81</v>
      </c>
      <c r="O11" s="2">
        <v>10.4</v>
      </c>
      <c r="P11" s="2">
        <v>10.6</v>
      </c>
      <c r="Q11" s="2">
        <v>16.350000000000001</v>
      </c>
    </row>
    <row r="12" spans="1:17" x14ac:dyDescent="0.25">
      <c r="A12" s="2">
        <v>11</v>
      </c>
      <c r="B12" s="2" t="s">
        <v>30</v>
      </c>
      <c r="C12" s="2" t="s">
        <v>17</v>
      </c>
      <c r="D12" s="3">
        <v>44307</v>
      </c>
      <c r="E12" s="2">
        <v>186.02</v>
      </c>
      <c r="F12" s="4">
        <v>120574</v>
      </c>
      <c r="G12" s="5">
        <v>0.313</v>
      </c>
      <c r="H12" s="4">
        <v>120535</v>
      </c>
      <c r="I12" s="5">
        <v>0.376</v>
      </c>
      <c r="J12" s="4">
        <v>91306</v>
      </c>
      <c r="K12" s="5">
        <v>0.72099999999999997</v>
      </c>
      <c r="L12" s="4">
        <v>384902</v>
      </c>
      <c r="M12" s="2">
        <v>192.75</v>
      </c>
      <c r="N12" s="2">
        <v>2.5499999999999998</v>
      </c>
      <c r="O12" s="2">
        <v>16.5</v>
      </c>
      <c r="P12" s="2">
        <v>12.3</v>
      </c>
      <c r="Q12" s="2">
        <v>32.92</v>
      </c>
    </row>
    <row r="13" spans="1:17" x14ac:dyDescent="0.25">
      <c r="A13" s="2">
        <v>12</v>
      </c>
      <c r="B13" s="2" t="s">
        <v>31</v>
      </c>
      <c r="C13" s="2" t="s">
        <v>19</v>
      </c>
      <c r="D13" s="3">
        <v>44307</v>
      </c>
      <c r="E13" s="2">
        <v>80.91</v>
      </c>
      <c r="F13" s="4">
        <v>12449</v>
      </c>
      <c r="G13" s="5">
        <v>0.17399999999999999</v>
      </c>
      <c r="H13" s="4">
        <v>12446</v>
      </c>
      <c r="I13" s="5">
        <v>0.221</v>
      </c>
      <c r="J13" s="4">
        <v>7727</v>
      </c>
      <c r="K13" s="6">
        <v>0.56000000000000005</v>
      </c>
      <c r="L13" s="4">
        <v>71686</v>
      </c>
      <c r="M13" s="2">
        <v>89.88</v>
      </c>
      <c r="N13" s="2">
        <v>2.57</v>
      </c>
      <c r="O13" s="2">
        <v>12.4</v>
      </c>
      <c r="P13" s="2">
        <v>17.399999999999999</v>
      </c>
      <c r="Q13" s="2">
        <v>19.260000000000002</v>
      </c>
    </row>
    <row r="14" spans="1:17" x14ac:dyDescent="0.25">
      <c r="A14" s="2">
        <v>13</v>
      </c>
      <c r="B14" s="2" t="s">
        <v>32</v>
      </c>
      <c r="C14" s="2" t="s">
        <v>17</v>
      </c>
      <c r="D14" s="3">
        <v>44307</v>
      </c>
      <c r="E14" s="2">
        <v>155.26</v>
      </c>
      <c r="F14" s="4">
        <v>6185</v>
      </c>
      <c r="G14" s="5">
        <v>0.16300000000000001</v>
      </c>
      <c r="H14" s="4">
        <v>6185</v>
      </c>
      <c r="I14" s="6">
        <v>0.2</v>
      </c>
      <c r="J14" s="4">
        <v>4567</v>
      </c>
      <c r="K14" s="5">
        <v>0.53400000000000003</v>
      </c>
      <c r="L14" s="4">
        <v>38001</v>
      </c>
      <c r="M14" s="2">
        <v>59.68</v>
      </c>
      <c r="N14" s="2">
        <v>2.74</v>
      </c>
      <c r="O14" s="2">
        <v>18.399999999999999</v>
      </c>
      <c r="P14" s="2">
        <v>28.5</v>
      </c>
      <c r="Q14" s="2">
        <v>22.52</v>
      </c>
    </row>
    <row r="15" spans="1:17" x14ac:dyDescent="0.25">
      <c r="A15" s="2">
        <v>14</v>
      </c>
      <c r="B15" s="2" t="s">
        <v>33</v>
      </c>
      <c r="C15" s="2" t="s">
        <v>19</v>
      </c>
      <c r="D15" s="3">
        <v>44307</v>
      </c>
      <c r="E15" s="2">
        <v>71.319999999999993</v>
      </c>
      <c r="F15" s="4">
        <v>2521</v>
      </c>
      <c r="G15" s="6">
        <v>0.15</v>
      </c>
      <c r="H15" s="4">
        <v>2521</v>
      </c>
      <c r="I15" s="5">
        <v>0.183</v>
      </c>
      <c r="J15" s="4">
        <v>1884</v>
      </c>
      <c r="K15" s="5">
        <v>0.47299999999999998</v>
      </c>
      <c r="L15" s="4">
        <v>16826</v>
      </c>
      <c r="M15" s="2">
        <v>23.86</v>
      </c>
      <c r="N15" s="2">
        <v>2.2799999999999998</v>
      </c>
      <c r="O15" s="2">
        <v>17.2</v>
      </c>
      <c r="P15" s="2">
        <v>23.1</v>
      </c>
      <c r="Q15" s="2">
        <v>23.68</v>
      </c>
    </row>
    <row r="16" spans="1:17" x14ac:dyDescent="0.25">
      <c r="A16" s="2">
        <v>15</v>
      </c>
      <c r="B16" s="2" t="s">
        <v>34</v>
      </c>
      <c r="C16" s="2" t="s">
        <v>17</v>
      </c>
      <c r="D16" s="3">
        <v>44307</v>
      </c>
      <c r="E16" s="2">
        <v>129.68</v>
      </c>
      <c r="F16" s="4">
        <v>230613</v>
      </c>
      <c r="G16" s="5">
        <v>0.24099999999999999</v>
      </c>
      <c r="H16" s="4">
        <v>230360</v>
      </c>
      <c r="I16" s="6">
        <v>0.31</v>
      </c>
      <c r="J16" s="4">
        <v>97533</v>
      </c>
      <c r="K16" s="5">
        <v>0.70399999999999996</v>
      </c>
      <c r="L16" s="4">
        <v>957755</v>
      </c>
      <c r="M16" s="7">
        <v>1255.8599999999999</v>
      </c>
      <c r="N16" s="2">
        <v>2.5499999999999998</v>
      </c>
      <c r="O16" s="2">
        <v>12</v>
      </c>
      <c r="P16" s="2">
        <v>15.5</v>
      </c>
      <c r="Q16" s="2">
        <v>14.47</v>
      </c>
    </row>
    <row r="17" spans="1:17" x14ac:dyDescent="0.25">
      <c r="A17" s="2">
        <v>16</v>
      </c>
      <c r="B17" s="2" t="s">
        <v>35</v>
      </c>
      <c r="C17" s="2" t="s">
        <v>19</v>
      </c>
      <c r="D17" s="3">
        <v>44307</v>
      </c>
      <c r="E17" s="2">
        <v>84.82</v>
      </c>
      <c r="F17" s="4">
        <v>69855</v>
      </c>
      <c r="G17" s="5">
        <v>0.219</v>
      </c>
      <c r="H17" s="4">
        <v>69816</v>
      </c>
      <c r="I17" s="5">
        <v>0.27700000000000002</v>
      </c>
      <c r="J17" s="4">
        <v>35597</v>
      </c>
      <c r="K17" s="5">
        <v>0.65200000000000002</v>
      </c>
      <c r="L17" s="4">
        <v>318316</v>
      </c>
      <c r="M17" s="2">
        <v>484.52</v>
      </c>
      <c r="N17" s="2">
        <v>2.4700000000000002</v>
      </c>
      <c r="O17" s="2">
        <v>10.199999999999999</v>
      </c>
      <c r="P17" s="2">
        <v>13.9</v>
      </c>
      <c r="Q17" s="2">
        <v>17.14</v>
      </c>
    </row>
    <row r="18" spans="1:17" x14ac:dyDescent="0.25">
      <c r="A18" s="2">
        <v>17</v>
      </c>
      <c r="B18" s="2" t="s">
        <v>36</v>
      </c>
      <c r="C18" s="2" t="s">
        <v>17</v>
      </c>
      <c r="D18" s="3">
        <v>44307</v>
      </c>
      <c r="E18" s="2">
        <v>126</v>
      </c>
      <c r="F18" s="4">
        <v>34245</v>
      </c>
      <c r="G18" s="5">
        <v>0.29799999999999999</v>
      </c>
      <c r="H18" s="4">
        <v>34235</v>
      </c>
      <c r="I18" s="5">
        <v>0.35699999999999998</v>
      </c>
      <c r="J18" s="4">
        <v>24917</v>
      </c>
      <c r="K18" s="5">
        <v>0.69399999999999995</v>
      </c>
      <c r="L18" s="4">
        <v>115081</v>
      </c>
      <c r="M18" s="2">
        <v>237.21</v>
      </c>
      <c r="N18" s="2">
        <v>2.62</v>
      </c>
      <c r="O18" s="2">
        <v>12.7</v>
      </c>
      <c r="P18" s="2">
        <v>11.9</v>
      </c>
      <c r="Q18" s="2">
        <v>31.19</v>
      </c>
    </row>
    <row r="19" spans="1:17" x14ac:dyDescent="0.25">
      <c r="A19" s="2">
        <v>18</v>
      </c>
      <c r="B19" s="2" t="s">
        <v>37</v>
      </c>
      <c r="C19" s="2" t="s">
        <v>19</v>
      </c>
      <c r="D19" s="3">
        <v>44307</v>
      </c>
      <c r="E19" s="2" t="s">
        <v>26</v>
      </c>
      <c r="F19" s="4">
        <v>2982</v>
      </c>
      <c r="G19" s="5">
        <v>0.246</v>
      </c>
      <c r="H19" s="4">
        <v>2982</v>
      </c>
      <c r="I19" s="5">
        <v>0.29099999999999998</v>
      </c>
      <c r="J19" s="4">
        <v>2065</v>
      </c>
      <c r="K19" s="5">
        <v>0.70599999999999996</v>
      </c>
      <c r="L19" s="4">
        <v>12125</v>
      </c>
      <c r="M19" s="2">
        <v>22.24</v>
      </c>
      <c r="N19" s="2">
        <v>2.35</v>
      </c>
      <c r="O19" s="2">
        <v>18.3</v>
      </c>
      <c r="P19" s="2">
        <v>20.7</v>
      </c>
      <c r="Q19" s="2">
        <v>24.13</v>
      </c>
    </row>
    <row r="20" spans="1:17" x14ac:dyDescent="0.25">
      <c r="A20" s="2">
        <v>19</v>
      </c>
      <c r="B20" s="2" t="s">
        <v>38</v>
      </c>
      <c r="C20" s="2" t="s">
        <v>19</v>
      </c>
      <c r="D20" s="3">
        <v>44307</v>
      </c>
      <c r="E20" s="2">
        <v>70.08</v>
      </c>
      <c r="F20" s="4">
        <v>11618</v>
      </c>
      <c r="G20" s="5">
        <v>0.254</v>
      </c>
      <c r="H20" s="4">
        <v>11611</v>
      </c>
      <c r="I20" s="5">
        <v>0.32400000000000001</v>
      </c>
      <c r="J20" s="4">
        <v>5984</v>
      </c>
      <c r="K20" s="5">
        <v>0.70099999999999996</v>
      </c>
      <c r="L20" s="4">
        <v>45660</v>
      </c>
      <c r="M20" s="2">
        <v>88.44</v>
      </c>
      <c r="N20" s="2">
        <v>2.4700000000000002</v>
      </c>
      <c r="O20" s="2">
        <v>14.9</v>
      </c>
      <c r="P20" s="2">
        <v>24.6</v>
      </c>
      <c r="Q20" s="2">
        <v>18.7</v>
      </c>
    </row>
    <row r="21" spans="1:17" x14ac:dyDescent="0.25">
      <c r="A21" s="2">
        <v>20</v>
      </c>
      <c r="B21" s="2" t="s">
        <v>39</v>
      </c>
      <c r="C21" s="2" t="s">
        <v>17</v>
      </c>
      <c r="D21" s="3">
        <v>44307</v>
      </c>
      <c r="E21" s="2">
        <v>161.44999999999999</v>
      </c>
      <c r="F21" s="4">
        <v>2805</v>
      </c>
      <c r="G21" s="5">
        <v>0.151</v>
      </c>
      <c r="H21" s="4">
        <v>2803</v>
      </c>
      <c r="I21" s="5">
        <v>0.188</v>
      </c>
      <c r="J21" s="4">
        <v>1843</v>
      </c>
      <c r="K21" s="6">
        <v>0.48</v>
      </c>
      <c r="L21" s="4">
        <v>18582</v>
      </c>
      <c r="M21" s="2">
        <v>53.14</v>
      </c>
      <c r="N21" s="2">
        <v>2.5</v>
      </c>
      <c r="O21" s="2">
        <v>18.100000000000001</v>
      </c>
      <c r="P21" s="2">
        <v>17.899999999999999</v>
      </c>
      <c r="Q21" s="2">
        <v>20.65</v>
      </c>
    </row>
    <row r="22" spans="1:17" x14ac:dyDescent="0.25">
      <c r="A22" s="2">
        <v>21</v>
      </c>
      <c r="B22" s="2" t="s">
        <v>40</v>
      </c>
      <c r="C22" s="2" t="s">
        <v>19</v>
      </c>
      <c r="D22" s="3">
        <v>44307</v>
      </c>
      <c r="E22" s="2" t="s">
        <v>26</v>
      </c>
      <c r="F22" s="4">
        <v>1901</v>
      </c>
      <c r="G22" s="5">
        <v>0.13800000000000001</v>
      </c>
      <c r="H22" s="4">
        <v>1901</v>
      </c>
      <c r="I22" s="5">
        <v>0.161</v>
      </c>
      <c r="J22" s="4">
        <v>1355</v>
      </c>
      <c r="K22" s="5">
        <v>0.35599999999999998</v>
      </c>
      <c r="L22" s="4">
        <v>13811</v>
      </c>
      <c r="M22" s="2">
        <v>17.12</v>
      </c>
      <c r="N22" s="2">
        <v>2.71</v>
      </c>
      <c r="O22" s="2">
        <v>19.899999999999999</v>
      </c>
      <c r="P22" s="2">
        <v>17</v>
      </c>
      <c r="Q22" s="2">
        <v>27.57</v>
      </c>
    </row>
    <row r="23" spans="1:17" x14ac:dyDescent="0.25">
      <c r="A23" s="2">
        <v>22</v>
      </c>
      <c r="B23" s="2" t="s">
        <v>41</v>
      </c>
      <c r="C23" s="2" t="s">
        <v>25</v>
      </c>
      <c r="D23" s="3">
        <v>44307</v>
      </c>
      <c r="E23" s="2" t="s">
        <v>26</v>
      </c>
      <c r="F23" s="4">
        <v>3176</v>
      </c>
      <c r="G23" s="5">
        <v>0.23300000000000001</v>
      </c>
      <c r="H23" s="4">
        <v>3176</v>
      </c>
      <c r="I23" s="5">
        <v>0.28499999999999998</v>
      </c>
      <c r="J23" s="4">
        <v>2311</v>
      </c>
      <c r="K23" s="5">
        <v>0.63900000000000001</v>
      </c>
      <c r="L23" s="4">
        <v>13639</v>
      </c>
      <c r="M23" s="2">
        <v>24.64</v>
      </c>
      <c r="N23" s="2">
        <v>2.5499999999999998</v>
      </c>
      <c r="O23" s="2">
        <v>11.4</v>
      </c>
      <c r="P23" s="2">
        <v>13.9</v>
      </c>
      <c r="Q23" s="2">
        <v>26.5</v>
      </c>
    </row>
    <row r="24" spans="1:17" x14ac:dyDescent="0.25">
      <c r="A24" s="2">
        <v>23</v>
      </c>
      <c r="B24" s="2" t="s">
        <v>42</v>
      </c>
      <c r="C24" s="2" t="s">
        <v>19</v>
      </c>
      <c r="D24" s="3">
        <v>44307</v>
      </c>
      <c r="E24" s="2">
        <v>76.239999999999995</v>
      </c>
      <c r="F24" s="4">
        <v>2284</v>
      </c>
      <c r="G24" s="5">
        <v>0.158</v>
      </c>
      <c r="H24" s="4">
        <v>2284</v>
      </c>
      <c r="I24" s="5">
        <v>0.19500000000000001</v>
      </c>
      <c r="J24" s="4">
        <v>1507</v>
      </c>
      <c r="K24" s="5">
        <v>0.56599999999999995</v>
      </c>
      <c r="L24" s="4">
        <v>14428</v>
      </c>
      <c r="M24" s="2">
        <v>28.08</v>
      </c>
      <c r="N24" s="2">
        <v>2.44</v>
      </c>
      <c r="O24" s="2">
        <v>14.3</v>
      </c>
      <c r="P24" s="2">
        <v>29.5</v>
      </c>
      <c r="Q24" s="2">
        <v>18.46</v>
      </c>
    </row>
    <row r="25" spans="1:17" x14ac:dyDescent="0.25">
      <c r="A25" s="2">
        <v>24</v>
      </c>
      <c r="B25" s="2" t="s">
        <v>43</v>
      </c>
      <c r="C25" s="2" t="s">
        <v>17</v>
      </c>
      <c r="D25" s="3">
        <v>44307</v>
      </c>
      <c r="E25" s="2">
        <v>185.62</v>
      </c>
      <c r="F25" s="4">
        <v>3258</v>
      </c>
      <c r="G25" s="5">
        <v>0.121</v>
      </c>
      <c r="H25" s="4">
        <v>3257</v>
      </c>
      <c r="I25" s="5">
        <v>0.16200000000000001</v>
      </c>
      <c r="J25" s="4">
        <v>2376</v>
      </c>
      <c r="K25" s="5">
        <v>0.50600000000000001</v>
      </c>
      <c r="L25" s="4">
        <v>26937</v>
      </c>
      <c r="M25" s="2">
        <v>42.25</v>
      </c>
      <c r="N25" s="2">
        <v>3.22</v>
      </c>
      <c r="O25" s="2">
        <v>12.2</v>
      </c>
      <c r="P25" s="2">
        <v>26.7</v>
      </c>
      <c r="Q25" s="2">
        <v>17.43</v>
      </c>
    </row>
    <row r="26" spans="1:17" x14ac:dyDescent="0.25">
      <c r="A26" s="2">
        <v>25</v>
      </c>
      <c r="B26" s="2" t="s">
        <v>44</v>
      </c>
      <c r="C26" s="2" t="s">
        <v>17</v>
      </c>
      <c r="D26" s="3">
        <v>44307</v>
      </c>
      <c r="E26" s="2">
        <v>116.61</v>
      </c>
      <c r="F26" s="4">
        <v>6444</v>
      </c>
      <c r="G26" s="5">
        <v>0.153</v>
      </c>
      <c r="H26" s="4">
        <v>6441</v>
      </c>
      <c r="I26" s="5">
        <v>0.20899999999999999</v>
      </c>
      <c r="J26" s="4">
        <v>3615</v>
      </c>
      <c r="K26" s="5">
        <v>0.626</v>
      </c>
      <c r="L26" s="4">
        <v>42022</v>
      </c>
      <c r="M26" s="2">
        <v>36.340000000000003</v>
      </c>
      <c r="N26" s="2">
        <v>3.17</v>
      </c>
      <c r="O26" s="2">
        <v>26.2</v>
      </c>
      <c r="P26" s="2">
        <v>26.8</v>
      </c>
      <c r="Q26" s="2">
        <v>13.75</v>
      </c>
    </row>
    <row r="27" spans="1:17" x14ac:dyDescent="0.25">
      <c r="A27" s="2">
        <v>26</v>
      </c>
      <c r="B27" s="2" t="s">
        <v>45</v>
      </c>
      <c r="C27" s="2" t="s">
        <v>17</v>
      </c>
      <c r="D27" s="3">
        <v>44307</v>
      </c>
      <c r="E27" s="2">
        <v>199.57</v>
      </c>
      <c r="F27" s="4">
        <v>44629</v>
      </c>
      <c r="G27" s="6">
        <v>0.23</v>
      </c>
      <c r="H27" s="4">
        <v>44608</v>
      </c>
      <c r="I27" s="5">
        <v>0.28100000000000003</v>
      </c>
      <c r="J27" s="4">
        <v>31416</v>
      </c>
      <c r="K27" s="5">
        <v>0.58899999999999997</v>
      </c>
      <c r="L27" s="4">
        <v>193920</v>
      </c>
      <c r="M27" s="2">
        <v>410.01</v>
      </c>
      <c r="N27" s="2">
        <v>2.46</v>
      </c>
      <c r="O27" s="2">
        <v>12.6</v>
      </c>
      <c r="P27" s="2">
        <v>14.3</v>
      </c>
      <c r="Q27" s="2">
        <v>27.51</v>
      </c>
    </row>
    <row r="28" spans="1:17" x14ac:dyDescent="0.25">
      <c r="A28" s="2">
        <v>27</v>
      </c>
      <c r="B28" s="2" t="s">
        <v>46</v>
      </c>
      <c r="C28" s="2" t="s">
        <v>17</v>
      </c>
      <c r="D28" s="3">
        <v>44307</v>
      </c>
      <c r="E28" s="2">
        <v>197.7</v>
      </c>
      <c r="F28" s="4">
        <v>25190</v>
      </c>
      <c r="G28" s="5">
        <v>0.23699999999999999</v>
      </c>
      <c r="H28" s="4">
        <v>25187</v>
      </c>
      <c r="I28" s="5">
        <v>0.28499999999999998</v>
      </c>
      <c r="J28" s="4">
        <v>20004</v>
      </c>
      <c r="K28" s="5">
        <v>0.52200000000000002</v>
      </c>
      <c r="L28" s="4">
        <v>106221</v>
      </c>
      <c r="M28" s="2">
        <v>104.38</v>
      </c>
      <c r="N28" s="2">
        <v>2.44</v>
      </c>
      <c r="O28" s="2">
        <v>12.7</v>
      </c>
      <c r="P28" s="2">
        <v>19.2</v>
      </c>
      <c r="Q28" s="2">
        <v>36.049999999999997</v>
      </c>
    </row>
    <row r="29" spans="1:17" x14ac:dyDescent="0.25">
      <c r="A29" s="2">
        <v>28</v>
      </c>
      <c r="B29" s="2" t="s">
        <v>47</v>
      </c>
      <c r="C29" s="2" t="s">
        <v>17</v>
      </c>
      <c r="D29" s="3">
        <v>44307</v>
      </c>
      <c r="E29" s="2">
        <v>245.11</v>
      </c>
      <c r="F29" s="4">
        <v>317699</v>
      </c>
      <c r="G29" s="5">
        <v>0.216</v>
      </c>
      <c r="H29" s="4">
        <v>317374</v>
      </c>
      <c r="I29" s="5">
        <v>0.27700000000000002</v>
      </c>
      <c r="J29" s="4">
        <v>129277</v>
      </c>
      <c r="K29" s="5">
        <v>0.60399999999999998</v>
      </c>
      <c r="L29" s="4">
        <v>1471968</v>
      </c>
      <c r="M29" s="7">
        <v>1440.39</v>
      </c>
      <c r="N29" s="2">
        <v>2.63</v>
      </c>
      <c r="O29" s="2">
        <v>13</v>
      </c>
      <c r="P29" s="2">
        <v>15.3</v>
      </c>
      <c r="Q29" s="2">
        <v>14.54</v>
      </c>
    </row>
    <row r="30" spans="1:17" x14ac:dyDescent="0.25">
      <c r="A30" s="2">
        <v>29</v>
      </c>
      <c r="B30" s="2" t="s">
        <v>48</v>
      </c>
      <c r="C30" s="2" t="s">
        <v>25</v>
      </c>
      <c r="D30" s="3">
        <v>44307</v>
      </c>
      <c r="E30" s="2" t="s">
        <v>26</v>
      </c>
      <c r="F30" s="4">
        <v>2557</v>
      </c>
      <c r="G30" s="6">
        <v>0.13</v>
      </c>
      <c r="H30" s="4">
        <v>2556</v>
      </c>
      <c r="I30" s="5">
        <v>0.16400000000000001</v>
      </c>
      <c r="J30" s="4">
        <v>1716</v>
      </c>
      <c r="K30" s="5">
        <v>0.438</v>
      </c>
      <c r="L30" s="4">
        <v>19617</v>
      </c>
      <c r="M30" s="2">
        <v>40.97</v>
      </c>
      <c r="N30" s="2">
        <v>2.5099999999999998</v>
      </c>
      <c r="O30" s="2">
        <v>18.899999999999999</v>
      </c>
      <c r="P30" s="2">
        <v>25.6</v>
      </c>
      <c r="Q30" s="2">
        <v>19.989999999999998</v>
      </c>
    </row>
    <row r="31" spans="1:17" x14ac:dyDescent="0.25">
      <c r="A31" s="2">
        <v>30</v>
      </c>
      <c r="B31" s="2" t="s">
        <v>49</v>
      </c>
      <c r="C31" s="2" t="s">
        <v>17</v>
      </c>
      <c r="D31" s="3">
        <v>44307</v>
      </c>
      <c r="E31" s="2">
        <v>111.93</v>
      </c>
      <c r="F31" s="4">
        <v>47992</v>
      </c>
      <c r="G31" s="6">
        <v>0.3</v>
      </c>
      <c r="H31" s="4">
        <v>47976</v>
      </c>
      <c r="I31" s="5">
        <v>0.35599999999999998</v>
      </c>
      <c r="J31" s="4">
        <v>36440</v>
      </c>
      <c r="K31" s="5">
        <v>0.67300000000000004</v>
      </c>
      <c r="L31" s="4">
        <v>159923</v>
      </c>
      <c r="M31" s="2">
        <v>318.08</v>
      </c>
      <c r="N31" s="2">
        <v>2.6</v>
      </c>
      <c r="O31" s="2">
        <v>12.1</v>
      </c>
      <c r="P31" s="2">
        <v>12.2</v>
      </c>
      <c r="Q31" s="2">
        <v>33.85</v>
      </c>
    </row>
    <row r="32" spans="1:17" x14ac:dyDescent="0.25">
      <c r="A32" s="2">
        <v>31</v>
      </c>
      <c r="B32" s="2" t="s">
        <v>50</v>
      </c>
      <c r="C32" s="2" t="s">
        <v>19</v>
      </c>
      <c r="D32" s="3">
        <v>44307</v>
      </c>
      <c r="E32" s="2">
        <v>56.02</v>
      </c>
      <c r="F32" s="4">
        <v>8676</v>
      </c>
      <c r="G32" s="5">
        <v>0.187</v>
      </c>
      <c r="H32" s="4">
        <v>8675</v>
      </c>
      <c r="I32" s="6">
        <v>0.23</v>
      </c>
      <c r="J32" s="4">
        <v>5202</v>
      </c>
      <c r="K32" s="5">
        <v>0.54400000000000004</v>
      </c>
      <c r="L32" s="4">
        <v>46414</v>
      </c>
      <c r="M32" s="2">
        <v>50.55</v>
      </c>
      <c r="N32" s="2">
        <v>2.4</v>
      </c>
      <c r="O32" s="2">
        <v>11.3</v>
      </c>
      <c r="P32" s="2">
        <v>20.6</v>
      </c>
      <c r="Q32" s="2">
        <v>20.62</v>
      </c>
    </row>
    <row r="33" spans="1:17" x14ac:dyDescent="0.25">
      <c r="A33" s="2">
        <v>32</v>
      </c>
      <c r="B33" s="2" t="s">
        <v>51</v>
      </c>
      <c r="C33" s="2" t="s">
        <v>17</v>
      </c>
      <c r="D33" s="3">
        <v>44307</v>
      </c>
      <c r="E33" s="2">
        <v>133.37</v>
      </c>
      <c r="F33" s="4">
        <v>4448</v>
      </c>
      <c r="G33" s="5">
        <v>0.312</v>
      </c>
      <c r="H33" s="4">
        <v>4448</v>
      </c>
      <c r="I33" s="5">
        <v>0.374</v>
      </c>
      <c r="J33" s="4">
        <v>3184</v>
      </c>
      <c r="K33" s="5">
        <v>0.90700000000000003</v>
      </c>
      <c r="L33" s="4">
        <v>14246</v>
      </c>
      <c r="M33" s="2">
        <v>23.82</v>
      </c>
      <c r="N33" s="2">
        <v>2.04</v>
      </c>
      <c r="O33" s="2">
        <v>6.4</v>
      </c>
      <c r="P33" s="2">
        <v>14.1</v>
      </c>
      <c r="Q33" s="2">
        <v>24.65</v>
      </c>
    </row>
    <row r="34" spans="1:17" x14ac:dyDescent="0.25">
      <c r="A34" s="2">
        <v>33</v>
      </c>
      <c r="B34" s="2" t="s">
        <v>52</v>
      </c>
      <c r="C34" s="2" t="s">
        <v>19</v>
      </c>
      <c r="D34" s="3">
        <v>44307</v>
      </c>
      <c r="E34" s="2" t="s">
        <v>26</v>
      </c>
      <c r="F34" s="4">
        <v>1318</v>
      </c>
      <c r="G34" s="5">
        <v>0.156</v>
      </c>
      <c r="H34" s="4">
        <v>1318</v>
      </c>
      <c r="I34" s="5">
        <v>0.19500000000000001</v>
      </c>
      <c r="J34" s="4">
        <v>1062</v>
      </c>
      <c r="K34" s="6">
        <v>0.73</v>
      </c>
      <c r="L34" s="4">
        <v>8422</v>
      </c>
      <c r="M34" s="2">
        <v>15.5</v>
      </c>
      <c r="N34" s="2">
        <v>3.43</v>
      </c>
      <c r="O34" s="2">
        <v>17.600000000000001</v>
      </c>
      <c r="P34" s="2">
        <v>20.100000000000001</v>
      </c>
      <c r="Q34" s="2">
        <v>17.28</v>
      </c>
    </row>
    <row r="35" spans="1:17" x14ac:dyDescent="0.25">
      <c r="A35" s="2">
        <v>34</v>
      </c>
      <c r="B35" s="2" t="s">
        <v>53</v>
      </c>
      <c r="C35" s="2" t="s">
        <v>17</v>
      </c>
      <c r="D35" s="3">
        <v>44307</v>
      </c>
      <c r="E35" s="2">
        <v>197.48</v>
      </c>
      <c r="F35" s="4">
        <v>108745</v>
      </c>
      <c r="G35" s="5">
        <v>0.29599999999999999</v>
      </c>
      <c r="H35" s="4">
        <v>108649</v>
      </c>
      <c r="I35" s="5">
        <v>0.36499999999999999</v>
      </c>
      <c r="J35" s="4">
        <v>75530</v>
      </c>
      <c r="K35" s="6">
        <v>0.76</v>
      </c>
      <c r="L35" s="4">
        <v>367118</v>
      </c>
      <c r="M35" s="2">
        <v>386.13</v>
      </c>
      <c r="N35" s="2">
        <v>2.5499999999999998</v>
      </c>
      <c r="O35" s="2">
        <v>11.6</v>
      </c>
      <c r="P35" s="2">
        <v>12.5</v>
      </c>
      <c r="Q35" s="2">
        <v>27.07</v>
      </c>
    </row>
    <row r="36" spans="1:17" x14ac:dyDescent="0.25">
      <c r="A36" s="2">
        <v>35</v>
      </c>
      <c r="B36" s="2" t="s">
        <v>54</v>
      </c>
      <c r="C36" s="2" t="s">
        <v>17</v>
      </c>
      <c r="D36" s="3">
        <v>44307</v>
      </c>
      <c r="E36" s="2">
        <v>238.52</v>
      </c>
      <c r="F36" s="4">
        <v>194256</v>
      </c>
      <c r="G36" s="5">
        <v>0.252</v>
      </c>
      <c r="H36" s="4">
        <v>194212</v>
      </c>
      <c r="I36" s="5">
        <v>0.30499999999999999</v>
      </c>
      <c r="J36" s="4">
        <v>144504</v>
      </c>
      <c r="K36" s="5">
        <v>0.64300000000000002</v>
      </c>
      <c r="L36" s="4">
        <v>770577</v>
      </c>
      <c r="M36" s="2">
        <v>986.08</v>
      </c>
      <c r="N36" s="2">
        <v>2.61</v>
      </c>
      <c r="O36" s="2">
        <v>14.3</v>
      </c>
      <c r="P36" s="2">
        <v>14</v>
      </c>
      <c r="Q36" s="2">
        <v>29.15</v>
      </c>
    </row>
    <row r="37" spans="1:17" x14ac:dyDescent="0.25">
      <c r="A37" s="2">
        <v>36</v>
      </c>
      <c r="B37" s="2" t="s">
        <v>55</v>
      </c>
      <c r="C37" s="2" t="s">
        <v>19</v>
      </c>
      <c r="D37" s="3">
        <v>44307</v>
      </c>
      <c r="E37" s="2">
        <v>99.8</v>
      </c>
      <c r="F37" s="4">
        <v>71298</v>
      </c>
      <c r="G37" s="5">
        <v>0.24299999999999999</v>
      </c>
      <c r="H37" s="4">
        <v>71187</v>
      </c>
      <c r="I37" s="5">
        <v>0.29799999999999999</v>
      </c>
      <c r="J37" s="4">
        <v>31645</v>
      </c>
      <c r="K37" s="5">
        <v>0.77600000000000002</v>
      </c>
      <c r="L37" s="4">
        <v>293582</v>
      </c>
      <c r="M37" s="2">
        <v>440.23</v>
      </c>
      <c r="N37" s="2">
        <v>2.4300000000000002</v>
      </c>
      <c r="O37" s="2">
        <v>8.1999999999999993</v>
      </c>
      <c r="P37" s="2">
        <v>20.399999999999999</v>
      </c>
      <c r="Q37" s="2">
        <v>13.89</v>
      </c>
    </row>
    <row r="38" spans="1:17" x14ac:dyDescent="0.25">
      <c r="A38" s="2">
        <v>37</v>
      </c>
      <c r="B38" s="2" t="s">
        <v>56</v>
      </c>
      <c r="C38" s="2" t="s">
        <v>17</v>
      </c>
      <c r="D38" s="3">
        <v>44307</v>
      </c>
      <c r="E38" s="2">
        <v>204.8</v>
      </c>
      <c r="F38" s="4">
        <v>7812</v>
      </c>
      <c r="G38" s="5">
        <v>0.188</v>
      </c>
      <c r="H38" s="4">
        <v>7806</v>
      </c>
      <c r="I38" s="5">
        <v>0.23300000000000001</v>
      </c>
      <c r="J38" s="4">
        <v>5433</v>
      </c>
      <c r="K38" s="5">
        <v>0.52100000000000002</v>
      </c>
      <c r="L38" s="4">
        <v>41503</v>
      </c>
      <c r="M38" s="2">
        <v>37.119999999999997</v>
      </c>
      <c r="N38" s="2">
        <v>2.41</v>
      </c>
      <c r="O38" s="2">
        <v>15.5</v>
      </c>
      <c r="P38" s="2">
        <v>20.7</v>
      </c>
      <c r="Q38" s="2">
        <v>25.15</v>
      </c>
    </row>
    <row r="39" spans="1:17" x14ac:dyDescent="0.25">
      <c r="A39" s="2">
        <v>38</v>
      </c>
      <c r="B39" s="2" t="s">
        <v>57</v>
      </c>
      <c r="C39" s="2" t="s">
        <v>25</v>
      </c>
      <c r="D39" s="3">
        <v>44307</v>
      </c>
      <c r="E39" s="2" t="s">
        <v>26</v>
      </c>
      <c r="F39" s="4">
        <v>1169</v>
      </c>
      <c r="G39" s="6">
        <v>0.14000000000000001</v>
      </c>
      <c r="H39" s="4">
        <v>1169</v>
      </c>
      <c r="I39" s="5">
        <v>0.16900000000000001</v>
      </c>
      <c r="J39" s="2">
        <v>707</v>
      </c>
      <c r="K39" s="5">
        <v>0.56299999999999994</v>
      </c>
      <c r="L39" s="4">
        <v>8354</v>
      </c>
      <c r="M39" s="2">
        <v>10</v>
      </c>
      <c r="N39" s="2">
        <v>2.9</v>
      </c>
      <c r="O39" s="2">
        <v>18.5</v>
      </c>
      <c r="P39" s="2">
        <v>13</v>
      </c>
      <c r="Q39" s="2">
        <v>15.04</v>
      </c>
    </row>
    <row r="40" spans="1:17" x14ac:dyDescent="0.25">
      <c r="A40" s="2">
        <v>39</v>
      </c>
      <c r="B40" s="2" t="s">
        <v>58</v>
      </c>
      <c r="C40" s="2" t="s">
        <v>25</v>
      </c>
      <c r="D40" s="3">
        <v>44307</v>
      </c>
      <c r="E40" s="2" t="s">
        <v>26</v>
      </c>
      <c r="F40" s="4">
        <v>3843</v>
      </c>
      <c r="G40" s="5">
        <v>0.20799999999999999</v>
      </c>
      <c r="H40" s="4">
        <v>3842</v>
      </c>
      <c r="I40" s="5">
        <v>0.255</v>
      </c>
      <c r="J40" s="4">
        <v>2431</v>
      </c>
      <c r="K40" s="5">
        <v>0.623</v>
      </c>
      <c r="L40" s="4">
        <v>18493</v>
      </c>
      <c r="M40" s="2">
        <v>26.55</v>
      </c>
      <c r="N40" s="2">
        <v>2.4500000000000002</v>
      </c>
      <c r="O40" s="2">
        <v>13.1</v>
      </c>
      <c r="P40" s="2">
        <v>28.2</v>
      </c>
      <c r="Q40" s="2">
        <v>21.1</v>
      </c>
    </row>
    <row r="41" spans="1:17" x14ac:dyDescent="0.25">
      <c r="A41" s="2">
        <v>40</v>
      </c>
      <c r="B41" s="2" t="s">
        <v>59</v>
      </c>
      <c r="C41" s="2" t="s">
        <v>17</v>
      </c>
      <c r="D41" s="3">
        <v>44307</v>
      </c>
      <c r="E41" s="2">
        <v>223.18</v>
      </c>
      <c r="F41" s="4">
        <v>102474</v>
      </c>
      <c r="G41" s="5">
        <v>0.254</v>
      </c>
      <c r="H41" s="4">
        <v>102447</v>
      </c>
      <c r="I41" s="6">
        <v>0.31</v>
      </c>
      <c r="J41" s="4">
        <v>72826</v>
      </c>
      <c r="K41" s="5">
        <v>0.64400000000000002</v>
      </c>
      <c r="L41" s="4">
        <v>403253</v>
      </c>
      <c r="M41" s="2">
        <v>542.28</v>
      </c>
      <c r="N41" s="2">
        <v>2.57</v>
      </c>
      <c r="O41" s="2">
        <v>12.7</v>
      </c>
      <c r="P41" s="2">
        <v>12.5</v>
      </c>
      <c r="Q41" s="2">
        <v>28.06</v>
      </c>
    </row>
    <row r="42" spans="1:17" x14ac:dyDescent="0.25">
      <c r="A42" s="2">
        <v>41</v>
      </c>
      <c r="B42" s="2" t="s">
        <v>60</v>
      </c>
      <c r="C42" s="2" t="s">
        <v>17</v>
      </c>
      <c r="D42" s="3">
        <v>44307</v>
      </c>
      <c r="E42" s="2">
        <v>120.9</v>
      </c>
      <c r="F42" s="4">
        <v>90363</v>
      </c>
      <c r="G42" s="5">
        <v>0.247</v>
      </c>
      <c r="H42" s="4">
        <v>90335</v>
      </c>
      <c r="I42" s="5">
        <v>0.30299999999999999</v>
      </c>
      <c r="J42" s="4">
        <v>65273</v>
      </c>
      <c r="K42" s="5">
        <v>0.61199999999999999</v>
      </c>
      <c r="L42" s="4">
        <v>365579</v>
      </c>
      <c r="M42" s="2">
        <v>230.15</v>
      </c>
      <c r="N42" s="2">
        <v>2.48</v>
      </c>
      <c r="O42" s="2">
        <v>12.3</v>
      </c>
      <c r="P42" s="2">
        <v>16.600000000000001</v>
      </c>
      <c r="Q42" s="2">
        <v>29.18</v>
      </c>
    </row>
    <row r="43" spans="1:17" x14ac:dyDescent="0.25">
      <c r="A43" s="2">
        <v>42</v>
      </c>
      <c r="B43" s="2" t="s">
        <v>61</v>
      </c>
      <c r="C43" s="2" t="s">
        <v>17</v>
      </c>
      <c r="D43" s="3">
        <v>44307</v>
      </c>
      <c r="E43" s="2">
        <v>139.75</v>
      </c>
      <c r="F43" s="4">
        <v>48286</v>
      </c>
      <c r="G43" s="6">
        <v>0.3</v>
      </c>
      <c r="H43" s="4">
        <v>48266</v>
      </c>
      <c r="I43" s="5">
        <v>0.35799999999999998</v>
      </c>
      <c r="J43" s="4">
        <v>36401</v>
      </c>
      <c r="K43" s="5">
        <v>0.71699999999999997</v>
      </c>
      <c r="L43" s="4">
        <v>161000</v>
      </c>
      <c r="M43" s="2">
        <v>296.05</v>
      </c>
      <c r="N43" s="2">
        <v>2.41</v>
      </c>
      <c r="O43" s="2">
        <v>11.5</v>
      </c>
      <c r="P43" s="2">
        <v>10.5</v>
      </c>
      <c r="Q43" s="2">
        <v>31.53</v>
      </c>
    </row>
    <row r="44" spans="1:17" x14ac:dyDescent="0.25">
      <c r="A44" s="2">
        <v>43</v>
      </c>
      <c r="B44" s="2" t="s">
        <v>62</v>
      </c>
      <c r="C44" s="2" t="s">
        <v>17</v>
      </c>
      <c r="D44" s="3">
        <v>44307</v>
      </c>
      <c r="E44" s="2">
        <v>388.45</v>
      </c>
      <c r="F44" s="4">
        <v>697459</v>
      </c>
      <c r="G44" s="5">
        <v>0.25700000000000001</v>
      </c>
      <c r="H44" s="4">
        <v>695938</v>
      </c>
      <c r="I44" s="5">
        <v>0.32100000000000001</v>
      </c>
      <c r="J44" s="4">
        <v>299154</v>
      </c>
      <c r="K44" s="5">
        <v>0.66100000000000003</v>
      </c>
      <c r="L44" s="4">
        <v>2716940</v>
      </c>
      <c r="M44" s="7">
        <v>1430.09</v>
      </c>
      <c r="N44" s="2">
        <v>3.07</v>
      </c>
      <c r="O44" s="2">
        <v>18.100000000000001</v>
      </c>
      <c r="P44" s="2">
        <v>18</v>
      </c>
      <c r="Q44" s="2">
        <v>16.66</v>
      </c>
    </row>
    <row r="45" spans="1:17" x14ac:dyDescent="0.25">
      <c r="A45" s="2">
        <v>44</v>
      </c>
      <c r="B45" s="2" t="s">
        <v>63</v>
      </c>
      <c r="C45" s="2" t="s">
        <v>17</v>
      </c>
      <c r="D45" s="3">
        <v>44307</v>
      </c>
      <c r="E45" s="2">
        <v>148.19</v>
      </c>
      <c r="F45" s="4">
        <v>22225</v>
      </c>
      <c r="G45" s="5">
        <v>0.29899999999999999</v>
      </c>
      <c r="H45" s="4">
        <v>22215</v>
      </c>
      <c r="I45" s="5">
        <v>0.35299999999999998</v>
      </c>
      <c r="J45" s="4">
        <v>13477</v>
      </c>
      <c r="K45" s="5">
        <v>0.76500000000000001</v>
      </c>
      <c r="L45" s="4">
        <v>74228</v>
      </c>
      <c r="M45" s="2">
        <v>75.510000000000005</v>
      </c>
      <c r="N45" s="2">
        <v>2.39</v>
      </c>
      <c r="O45" s="2">
        <v>17.8</v>
      </c>
      <c r="P45" s="2">
        <v>11.8</v>
      </c>
      <c r="Q45" s="2">
        <v>23.75</v>
      </c>
    </row>
    <row r="46" spans="1:17" x14ac:dyDescent="0.25">
      <c r="A46" s="2">
        <v>45</v>
      </c>
      <c r="B46" s="2" t="s">
        <v>64</v>
      </c>
      <c r="C46" s="2" t="s">
        <v>17</v>
      </c>
      <c r="D46" s="3">
        <v>44307</v>
      </c>
      <c r="E46" s="2">
        <v>117.35</v>
      </c>
      <c r="F46" s="4">
        <v>25466</v>
      </c>
      <c r="G46" s="5">
        <v>0.28699999999999998</v>
      </c>
      <c r="H46" s="4">
        <v>25451</v>
      </c>
      <c r="I46" s="5">
        <v>0.35799999999999998</v>
      </c>
      <c r="J46" s="4">
        <v>15603</v>
      </c>
      <c r="K46" s="5">
        <v>0.77100000000000002</v>
      </c>
      <c r="L46" s="4">
        <v>88625</v>
      </c>
      <c r="M46" s="2">
        <v>136.62</v>
      </c>
      <c r="N46" s="2">
        <v>2.5499999999999998</v>
      </c>
      <c r="O46" s="2">
        <v>11</v>
      </c>
      <c r="P46" s="2">
        <v>10.199999999999999</v>
      </c>
      <c r="Q46" s="2">
        <v>22.83</v>
      </c>
    </row>
    <row r="47" spans="1:17" x14ac:dyDescent="0.25">
      <c r="A47" s="2">
        <v>46</v>
      </c>
      <c r="B47" s="2" t="s">
        <v>65</v>
      </c>
      <c r="C47" s="2" t="s">
        <v>19</v>
      </c>
      <c r="D47" s="3">
        <v>44307</v>
      </c>
      <c r="E47" s="2">
        <v>98.23</v>
      </c>
      <c r="F47" s="4">
        <v>46003</v>
      </c>
      <c r="G47" s="5">
        <v>0.218</v>
      </c>
      <c r="H47" s="4">
        <v>45976</v>
      </c>
      <c r="I47" s="5">
        <v>0.28100000000000003</v>
      </c>
      <c r="J47" s="4">
        <v>24451</v>
      </c>
      <c r="K47" s="5">
        <v>0.71099999999999997</v>
      </c>
      <c r="L47" s="4">
        <v>210738</v>
      </c>
      <c r="M47" s="2">
        <v>226.55</v>
      </c>
      <c r="N47" s="2">
        <v>2.52</v>
      </c>
      <c r="O47" s="2">
        <v>12.2</v>
      </c>
      <c r="P47" s="2">
        <v>11.5</v>
      </c>
      <c r="Q47" s="2">
        <v>16.309999999999999</v>
      </c>
    </row>
    <row r="48" spans="1:17" x14ac:dyDescent="0.25">
      <c r="A48" s="2">
        <v>47</v>
      </c>
      <c r="B48" s="2" t="s">
        <v>66</v>
      </c>
      <c r="C48" s="2" t="s">
        <v>17</v>
      </c>
      <c r="D48" s="3">
        <v>44307</v>
      </c>
      <c r="E48" s="2">
        <v>142.29</v>
      </c>
      <c r="F48" s="4">
        <v>7039</v>
      </c>
      <c r="G48" s="5">
        <v>0.16700000000000001</v>
      </c>
      <c r="H48" s="4">
        <v>7037</v>
      </c>
      <c r="I48" s="5">
        <v>0.21199999999999999</v>
      </c>
      <c r="J48" s="4">
        <v>5354</v>
      </c>
      <c r="K48" s="5">
        <v>0.63100000000000001</v>
      </c>
      <c r="L48" s="4">
        <v>42168</v>
      </c>
      <c r="M48" s="2">
        <v>54.82</v>
      </c>
      <c r="N48" s="2">
        <v>2.73</v>
      </c>
      <c r="O48" s="2">
        <v>18.100000000000001</v>
      </c>
      <c r="P48" s="2">
        <v>22.7</v>
      </c>
      <c r="Q48" s="2">
        <v>20.12</v>
      </c>
    </row>
    <row r="49" spans="1:17" x14ac:dyDescent="0.25">
      <c r="A49" s="2">
        <v>48</v>
      </c>
      <c r="B49" s="2" t="s">
        <v>67</v>
      </c>
      <c r="C49" s="2" t="s">
        <v>17</v>
      </c>
      <c r="D49" s="3">
        <v>44307</v>
      </c>
      <c r="E49" s="2">
        <v>240.63</v>
      </c>
      <c r="F49" s="4">
        <v>304633</v>
      </c>
      <c r="G49" s="5">
        <v>0.219</v>
      </c>
      <c r="H49" s="4">
        <v>303932</v>
      </c>
      <c r="I49" s="5">
        <v>0.27900000000000003</v>
      </c>
      <c r="J49" s="4">
        <v>117069</v>
      </c>
      <c r="K49" s="5">
        <v>0.68200000000000005</v>
      </c>
      <c r="L49" s="4">
        <v>1393452</v>
      </c>
      <c r="M49" s="7">
        <v>1545.08</v>
      </c>
      <c r="N49" s="2">
        <v>2.81</v>
      </c>
      <c r="O49" s="2">
        <v>14.5</v>
      </c>
      <c r="P49" s="2">
        <v>16.100000000000001</v>
      </c>
      <c r="Q49" s="2">
        <v>12.31</v>
      </c>
    </row>
    <row r="50" spans="1:17" x14ac:dyDescent="0.25">
      <c r="A50" s="2">
        <v>49</v>
      </c>
      <c r="B50" s="2" t="s">
        <v>68</v>
      </c>
      <c r="C50" s="2" t="s">
        <v>17</v>
      </c>
      <c r="D50" s="3">
        <v>44307</v>
      </c>
      <c r="E50" s="2">
        <v>329.74</v>
      </c>
      <c r="F50" s="4">
        <v>73643</v>
      </c>
      <c r="G50" s="5">
        <v>0.19600000000000001</v>
      </c>
      <c r="H50" s="4">
        <v>73565</v>
      </c>
      <c r="I50" s="5">
        <v>0.25800000000000001</v>
      </c>
      <c r="J50" s="4">
        <v>34884</v>
      </c>
      <c r="K50" s="5">
        <v>0.68700000000000006</v>
      </c>
      <c r="L50" s="4">
        <v>375751</v>
      </c>
      <c r="M50" s="2">
        <v>283.04000000000002</v>
      </c>
      <c r="N50" s="2">
        <v>3.4</v>
      </c>
      <c r="O50" s="2">
        <v>15.8</v>
      </c>
      <c r="P50" s="2">
        <v>16.3</v>
      </c>
      <c r="Q50" s="2">
        <v>13.52</v>
      </c>
    </row>
    <row r="51" spans="1:17" x14ac:dyDescent="0.25">
      <c r="A51" s="2">
        <v>50</v>
      </c>
      <c r="B51" s="2" t="s">
        <v>69</v>
      </c>
      <c r="C51" s="2" t="s">
        <v>17</v>
      </c>
      <c r="D51" s="3">
        <v>44307</v>
      </c>
      <c r="E51" s="2">
        <v>199.96</v>
      </c>
      <c r="F51" s="4">
        <v>391497</v>
      </c>
      <c r="G51" s="5">
        <v>0.26200000000000001</v>
      </c>
      <c r="H51" s="4">
        <v>391070</v>
      </c>
      <c r="I51" s="5">
        <v>0.32200000000000001</v>
      </c>
      <c r="J51" s="4">
        <v>246076</v>
      </c>
      <c r="K51" s="5">
        <v>0.67500000000000004</v>
      </c>
      <c r="L51" s="4">
        <v>1496770</v>
      </c>
      <c r="M51" s="2">
        <v>761.99</v>
      </c>
      <c r="N51" s="2">
        <v>2.6</v>
      </c>
      <c r="O51" s="2">
        <v>13.6</v>
      </c>
      <c r="P51" s="2">
        <v>12.8</v>
      </c>
      <c r="Q51" s="2">
        <v>24.36</v>
      </c>
    </row>
    <row r="52" spans="1:17" x14ac:dyDescent="0.25">
      <c r="A52" s="2">
        <v>51</v>
      </c>
      <c r="B52" s="2" t="s">
        <v>70</v>
      </c>
      <c r="C52" s="2" t="s">
        <v>17</v>
      </c>
      <c r="D52" s="3">
        <v>44307</v>
      </c>
      <c r="E52" s="2">
        <v>211.21</v>
      </c>
      <c r="F52" s="4">
        <v>123406</v>
      </c>
      <c r="G52" s="5">
        <v>0.223</v>
      </c>
      <c r="H52" s="4">
        <v>123325</v>
      </c>
      <c r="I52" s="5">
        <v>0.27900000000000003</v>
      </c>
      <c r="J52" s="4">
        <v>75288</v>
      </c>
      <c r="K52" s="6">
        <v>0.6</v>
      </c>
      <c r="L52" s="4">
        <v>553947</v>
      </c>
      <c r="M52" s="2">
        <v>741.98</v>
      </c>
      <c r="N52" s="2">
        <v>2.52</v>
      </c>
      <c r="O52" s="2">
        <v>11.8</v>
      </c>
      <c r="P52" s="2">
        <v>13.5</v>
      </c>
      <c r="Q52" s="2">
        <v>22.65</v>
      </c>
    </row>
    <row r="53" spans="1:17" x14ac:dyDescent="0.25">
      <c r="A53" s="2">
        <v>52</v>
      </c>
      <c r="B53" s="2" t="s">
        <v>71</v>
      </c>
      <c r="C53" s="2" t="s">
        <v>17</v>
      </c>
      <c r="D53" s="3">
        <v>44307</v>
      </c>
      <c r="E53" s="2">
        <v>172.72</v>
      </c>
      <c r="F53" s="4">
        <v>278570</v>
      </c>
      <c r="G53" s="5">
        <v>0.28599999999999998</v>
      </c>
      <c r="H53" s="4">
        <v>278382</v>
      </c>
      <c r="I53" s="6">
        <v>0.34</v>
      </c>
      <c r="J53" s="4">
        <v>160845</v>
      </c>
      <c r="K53" s="6">
        <v>0.65</v>
      </c>
      <c r="L53" s="4">
        <v>974996</v>
      </c>
      <c r="M53" s="7">
        <v>3561.28</v>
      </c>
      <c r="N53" s="2">
        <v>2.31</v>
      </c>
      <c r="O53" s="2">
        <v>11.5</v>
      </c>
      <c r="P53" s="2">
        <v>13</v>
      </c>
      <c r="Q53" s="2">
        <v>25.4</v>
      </c>
    </row>
    <row r="54" spans="1:17" x14ac:dyDescent="0.25">
      <c r="A54" s="2">
        <v>53</v>
      </c>
      <c r="B54" s="2" t="s">
        <v>72</v>
      </c>
      <c r="C54" s="2" t="s">
        <v>17</v>
      </c>
      <c r="D54" s="3">
        <v>44307</v>
      </c>
      <c r="E54" s="2">
        <v>243.52</v>
      </c>
      <c r="F54" s="4">
        <v>140006</v>
      </c>
      <c r="G54" s="5">
        <v>0.193</v>
      </c>
      <c r="H54" s="4">
        <v>139913</v>
      </c>
      <c r="I54" s="5">
        <v>0.247</v>
      </c>
      <c r="J54" s="4">
        <v>86415</v>
      </c>
      <c r="K54" s="5">
        <v>0.58299999999999996</v>
      </c>
      <c r="L54" s="4">
        <v>724777</v>
      </c>
      <c r="M54" s="2">
        <v>403.21</v>
      </c>
      <c r="N54" s="2">
        <v>2.84</v>
      </c>
      <c r="O54" s="2">
        <v>13.2</v>
      </c>
      <c r="P54" s="2">
        <v>16.600000000000001</v>
      </c>
      <c r="Q54" s="2">
        <v>20.440000000000001</v>
      </c>
    </row>
    <row r="55" spans="1:17" x14ac:dyDescent="0.25">
      <c r="A55" s="2">
        <v>54</v>
      </c>
      <c r="B55" s="2" t="s">
        <v>73</v>
      </c>
      <c r="C55" s="2" t="s">
        <v>17</v>
      </c>
      <c r="D55" s="3">
        <v>44307</v>
      </c>
      <c r="E55" s="2">
        <v>177.13</v>
      </c>
      <c r="F55" s="4">
        <v>11941</v>
      </c>
      <c r="G55" s="6">
        <v>0.16</v>
      </c>
      <c r="H55" s="4">
        <v>11938</v>
      </c>
      <c r="I55" s="5">
        <v>0.20300000000000001</v>
      </c>
      <c r="J55" s="4">
        <v>8075</v>
      </c>
      <c r="K55" s="5">
        <v>0.45700000000000002</v>
      </c>
      <c r="L55" s="4">
        <v>74521</v>
      </c>
      <c r="M55" s="2">
        <v>102.38</v>
      </c>
      <c r="N55" s="2">
        <v>2.52</v>
      </c>
      <c r="O55" s="2">
        <v>16</v>
      </c>
      <c r="P55" s="2">
        <v>24.8</v>
      </c>
      <c r="Q55" s="2">
        <v>23.72</v>
      </c>
    </row>
    <row r="56" spans="1:17" x14ac:dyDescent="0.25">
      <c r="A56" s="2">
        <v>55</v>
      </c>
      <c r="B56" s="2" t="s">
        <v>74</v>
      </c>
      <c r="C56" s="2" t="s">
        <v>25</v>
      </c>
      <c r="D56" s="3">
        <v>44307</v>
      </c>
      <c r="E56" s="2">
        <v>48.83</v>
      </c>
      <c r="F56" s="4">
        <v>35500</v>
      </c>
      <c r="G56" s="5">
        <v>0.193</v>
      </c>
      <c r="H56" s="4">
        <v>35463</v>
      </c>
      <c r="I56" s="5">
        <v>0.246</v>
      </c>
      <c r="J56" s="4">
        <v>19957</v>
      </c>
      <c r="K56" s="5">
        <v>0.66300000000000003</v>
      </c>
      <c r="L56" s="4">
        <v>184313</v>
      </c>
      <c r="M56" s="2">
        <v>182.06</v>
      </c>
      <c r="N56" s="2">
        <v>2.68</v>
      </c>
      <c r="O56" s="2">
        <v>10</v>
      </c>
      <c r="P56" s="2">
        <v>9.8000000000000007</v>
      </c>
      <c r="Q56" s="2">
        <v>16.34</v>
      </c>
    </row>
    <row r="57" spans="1:17" x14ac:dyDescent="0.25">
      <c r="A57" s="2">
        <v>56</v>
      </c>
      <c r="B57" s="2" t="s">
        <v>75</v>
      </c>
      <c r="C57" s="2" t="s">
        <v>17</v>
      </c>
      <c r="D57" s="3">
        <v>44307</v>
      </c>
      <c r="E57" s="2">
        <v>192.51</v>
      </c>
      <c r="F57" s="4">
        <v>146640</v>
      </c>
      <c r="G57" s="5">
        <v>0.33800000000000002</v>
      </c>
      <c r="H57" s="4">
        <v>146565</v>
      </c>
      <c r="I57" s="5">
        <v>0.39300000000000002</v>
      </c>
      <c r="J57" s="4">
        <v>112993</v>
      </c>
      <c r="K57" s="5">
        <v>0.69799999999999995</v>
      </c>
      <c r="L57" s="4">
        <v>433742</v>
      </c>
      <c r="M57" s="2">
        <v>780.13</v>
      </c>
      <c r="N57" s="2">
        <v>2.25</v>
      </c>
      <c r="O57" s="2">
        <v>11.4</v>
      </c>
      <c r="P57" s="2">
        <v>9.6999999999999993</v>
      </c>
      <c r="Q57" s="2">
        <v>37.340000000000003</v>
      </c>
    </row>
    <row r="58" spans="1:17" x14ac:dyDescent="0.25">
      <c r="A58" s="2">
        <v>57</v>
      </c>
      <c r="B58" s="2" t="s">
        <v>76</v>
      </c>
      <c r="C58" s="2" t="s">
        <v>17</v>
      </c>
      <c r="D58" s="3">
        <v>44307</v>
      </c>
      <c r="E58" s="2">
        <v>224.87</v>
      </c>
      <c r="F58" s="4">
        <v>100149</v>
      </c>
      <c r="G58" s="5">
        <v>0.21199999999999999</v>
      </c>
      <c r="H58" s="4">
        <v>99973</v>
      </c>
      <c r="I58" s="5">
        <v>0.26800000000000002</v>
      </c>
      <c r="J58" s="4">
        <v>48028</v>
      </c>
      <c r="K58" s="5">
        <v>0.63700000000000001</v>
      </c>
      <c r="L58" s="4">
        <v>471826</v>
      </c>
      <c r="M58" s="7">
        <v>1525.34</v>
      </c>
      <c r="N58" s="2">
        <v>2.7</v>
      </c>
      <c r="O58" s="2">
        <v>10.4</v>
      </c>
      <c r="P58" s="2">
        <v>11.4</v>
      </c>
      <c r="Q58" s="2">
        <v>15.98</v>
      </c>
    </row>
    <row r="59" spans="1:17" x14ac:dyDescent="0.25">
      <c r="A59" s="2">
        <v>58</v>
      </c>
      <c r="B59" s="2" t="s">
        <v>77</v>
      </c>
      <c r="C59" s="2" t="s">
        <v>17</v>
      </c>
      <c r="D59" s="3">
        <v>44307</v>
      </c>
      <c r="E59" s="2">
        <v>122.42</v>
      </c>
      <c r="F59" s="4">
        <v>85555</v>
      </c>
      <c r="G59" s="5">
        <v>0.32300000000000001</v>
      </c>
      <c r="H59" s="4">
        <v>85400</v>
      </c>
      <c r="I59" s="5">
        <v>0.41199999999999998</v>
      </c>
      <c r="J59" s="4">
        <v>45585</v>
      </c>
      <c r="K59" s="5">
        <v>0.83399999999999996</v>
      </c>
      <c r="L59" s="4">
        <v>264672</v>
      </c>
      <c r="M59" s="2">
        <v>440.71</v>
      </c>
      <c r="N59" s="2">
        <v>2.7</v>
      </c>
      <c r="O59" s="2">
        <v>8.4</v>
      </c>
      <c r="P59" s="2">
        <v>8.4</v>
      </c>
      <c r="Q59" s="2">
        <v>20.65</v>
      </c>
    </row>
    <row r="60" spans="1:17" x14ac:dyDescent="0.25">
      <c r="A60" s="2">
        <v>59</v>
      </c>
      <c r="B60" s="2" t="s">
        <v>78</v>
      </c>
      <c r="C60" s="2" t="s">
        <v>17</v>
      </c>
      <c r="D60" s="3">
        <v>44307</v>
      </c>
      <c r="E60" s="2">
        <v>155.35</v>
      </c>
      <c r="F60" s="4">
        <v>71003</v>
      </c>
      <c r="G60" s="5">
        <v>0.216</v>
      </c>
      <c r="H60" s="4">
        <v>70983</v>
      </c>
      <c r="I60" s="5">
        <v>0.26900000000000002</v>
      </c>
      <c r="J60" s="4">
        <v>48522</v>
      </c>
      <c r="K60" s="6">
        <v>0.6</v>
      </c>
      <c r="L60" s="4">
        <v>328297</v>
      </c>
      <c r="M60" s="2">
        <v>574.29999999999995</v>
      </c>
      <c r="N60" s="2">
        <v>2.68</v>
      </c>
      <c r="O60" s="2">
        <v>14</v>
      </c>
      <c r="P60" s="2">
        <v>15</v>
      </c>
      <c r="Q60" s="2">
        <v>24.65</v>
      </c>
    </row>
    <row r="61" spans="1:17" x14ac:dyDescent="0.25">
      <c r="A61" s="2">
        <v>60</v>
      </c>
      <c r="B61" s="2" t="s">
        <v>79</v>
      </c>
      <c r="C61" s="2" t="s">
        <v>19</v>
      </c>
      <c r="D61" s="3">
        <v>44307</v>
      </c>
      <c r="E61" s="2">
        <v>83.82</v>
      </c>
      <c r="F61" s="4">
        <v>71333</v>
      </c>
      <c r="G61" s="5">
        <v>0.53900000000000003</v>
      </c>
      <c r="H61" s="4">
        <v>71323</v>
      </c>
      <c r="I61" s="6">
        <v>0.57999999999999996</v>
      </c>
      <c r="J61" s="4">
        <v>61894</v>
      </c>
      <c r="K61" s="5">
        <v>0.80300000000000005</v>
      </c>
      <c r="L61" s="4">
        <v>132420</v>
      </c>
      <c r="M61" s="2">
        <v>237.68</v>
      </c>
      <c r="N61" s="2">
        <v>2.04</v>
      </c>
      <c r="O61" s="2">
        <v>6.2</v>
      </c>
      <c r="P61" s="2">
        <v>8.8000000000000007</v>
      </c>
      <c r="Q61" s="2">
        <v>58.17</v>
      </c>
    </row>
    <row r="62" spans="1:17" x14ac:dyDescent="0.25">
      <c r="A62" s="2">
        <v>61</v>
      </c>
      <c r="B62" s="2" t="s">
        <v>80</v>
      </c>
      <c r="C62" s="2" t="s">
        <v>19</v>
      </c>
      <c r="D62" s="3">
        <v>44307</v>
      </c>
      <c r="E62" s="2">
        <v>74.3</v>
      </c>
      <c r="F62" s="4">
        <v>7422</v>
      </c>
      <c r="G62" s="5">
        <v>0.16700000000000001</v>
      </c>
      <c r="H62" s="4">
        <v>7420</v>
      </c>
      <c r="I62" s="5">
        <v>0.21199999999999999</v>
      </c>
      <c r="J62" s="4">
        <v>5206</v>
      </c>
      <c r="K62" s="5">
        <v>0.53900000000000003</v>
      </c>
      <c r="L62" s="4">
        <v>44417</v>
      </c>
      <c r="M62" s="2">
        <v>64.510000000000005</v>
      </c>
      <c r="N62" s="2">
        <v>2.81</v>
      </c>
      <c r="O62" s="2">
        <v>13.9</v>
      </c>
      <c r="P62" s="2">
        <v>17.8</v>
      </c>
      <c r="Q62" s="2">
        <v>21.73</v>
      </c>
    </row>
    <row r="63" spans="1:17" x14ac:dyDescent="0.25">
      <c r="A63" s="2">
        <v>62</v>
      </c>
      <c r="B63" s="2" t="s">
        <v>81</v>
      </c>
      <c r="C63" s="2" t="s">
        <v>25</v>
      </c>
      <c r="D63" s="3">
        <v>44307</v>
      </c>
      <c r="E63" s="2" t="s">
        <v>26</v>
      </c>
      <c r="F63" s="4">
        <v>3383</v>
      </c>
      <c r="G63" s="5">
        <v>0.157</v>
      </c>
      <c r="H63" s="4">
        <v>3381</v>
      </c>
      <c r="I63" s="5">
        <v>0.19500000000000001</v>
      </c>
      <c r="J63" s="4">
        <v>2298</v>
      </c>
      <c r="K63" s="5">
        <v>0.50800000000000001</v>
      </c>
      <c r="L63" s="4">
        <v>21569</v>
      </c>
      <c r="M63" s="2">
        <v>20.67</v>
      </c>
      <c r="N63" s="2">
        <v>2.4700000000000002</v>
      </c>
      <c r="O63" s="2">
        <v>10.9</v>
      </c>
      <c r="P63" s="2">
        <v>19.8</v>
      </c>
      <c r="Q63" s="2">
        <v>20.98</v>
      </c>
    </row>
    <row r="64" spans="1:17" x14ac:dyDescent="0.25">
      <c r="A64" s="2">
        <v>63</v>
      </c>
      <c r="B64" s="2" t="s">
        <v>82</v>
      </c>
      <c r="C64" s="2" t="s">
        <v>19</v>
      </c>
      <c r="D64" s="3">
        <v>44307</v>
      </c>
      <c r="E64" s="2">
        <v>85.32</v>
      </c>
      <c r="F64" s="4">
        <v>1693</v>
      </c>
      <c r="G64" s="5">
        <v>0.111</v>
      </c>
      <c r="H64" s="4">
        <v>1693</v>
      </c>
      <c r="I64" s="5">
        <v>0.13800000000000001</v>
      </c>
      <c r="J64" s="4">
        <v>1111</v>
      </c>
      <c r="K64" s="5">
        <v>0.47899999999999998</v>
      </c>
      <c r="L64" s="4">
        <v>15237</v>
      </c>
      <c r="M64" s="2">
        <v>62.56</v>
      </c>
      <c r="N64" s="2">
        <v>2.5</v>
      </c>
      <c r="O64" s="2">
        <v>12.4</v>
      </c>
      <c r="P64" s="2">
        <v>22</v>
      </c>
      <c r="Q64" s="2">
        <v>15.21</v>
      </c>
    </row>
    <row r="65" spans="1:17" x14ac:dyDescent="0.25">
      <c r="A65" s="2">
        <v>64</v>
      </c>
      <c r="B65" s="2" t="s">
        <v>83</v>
      </c>
      <c r="C65" s="2" t="s">
        <v>17</v>
      </c>
      <c r="D65" s="3">
        <v>44307</v>
      </c>
      <c r="E65" s="2">
        <v>226.29</v>
      </c>
      <c r="F65" s="4">
        <v>133843</v>
      </c>
      <c r="G65" s="5">
        <v>0.24199999999999999</v>
      </c>
      <c r="H65" s="4">
        <v>133790</v>
      </c>
      <c r="I65" s="5">
        <v>0.29299999999999998</v>
      </c>
      <c r="J65" s="4">
        <v>89902</v>
      </c>
      <c r="K65" s="5">
        <v>0.65200000000000002</v>
      </c>
      <c r="L65" s="4">
        <v>553284</v>
      </c>
      <c r="M65" s="2">
        <v>502.42</v>
      </c>
      <c r="N65" s="2">
        <v>2.4300000000000002</v>
      </c>
      <c r="O65" s="2">
        <v>12.5</v>
      </c>
      <c r="P65" s="2">
        <v>15.2</v>
      </c>
      <c r="Q65" s="2">
        <v>24.91</v>
      </c>
    </row>
    <row r="66" spans="1:17" x14ac:dyDescent="0.25">
      <c r="A66" s="2">
        <v>65</v>
      </c>
      <c r="B66" s="2" t="s">
        <v>84</v>
      </c>
      <c r="C66" s="2" t="s">
        <v>17</v>
      </c>
      <c r="D66" s="3">
        <v>44307</v>
      </c>
      <c r="E66" s="2">
        <v>171.91</v>
      </c>
      <c r="F66" s="4">
        <v>6566</v>
      </c>
      <c r="G66" s="5">
        <v>0.19500000000000001</v>
      </c>
      <c r="H66" s="4">
        <v>6561</v>
      </c>
      <c r="I66" s="5">
        <v>0.245</v>
      </c>
      <c r="J66" s="4">
        <v>3883</v>
      </c>
      <c r="K66" s="5">
        <v>0.72399999999999998</v>
      </c>
      <c r="L66" s="4">
        <v>33739</v>
      </c>
      <c r="M66" s="2">
        <v>55.64</v>
      </c>
      <c r="N66" s="2">
        <v>2.56</v>
      </c>
      <c r="O66" s="2">
        <v>9</v>
      </c>
      <c r="P66" s="2">
        <v>11.5</v>
      </c>
      <c r="Q66" s="2">
        <v>15.9</v>
      </c>
    </row>
    <row r="67" spans="1:17" x14ac:dyDescent="0.25">
      <c r="A67" s="2">
        <v>66</v>
      </c>
      <c r="B67" s="2" t="s">
        <v>85</v>
      </c>
      <c r="C67" s="2" t="s">
        <v>17</v>
      </c>
      <c r="D67" s="3">
        <v>44307</v>
      </c>
      <c r="E67" s="2">
        <v>126.91</v>
      </c>
      <c r="F67" s="4">
        <v>14348</v>
      </c>
      <c r="G67" s="5">
        <v>0.19400000000000001</v>
      </c>
      <c r="H67" s="4">
        <v>14344</v>
      </c>
      <c r="I67" s="5">
        <v>0.24299999999999999</v>
      </c>
      <c r="J67" s="4">
        <v>8963</v>
      </c>
      <c r="K67" s="5">
        <v>0.59799999999999998</v>
      </c>
      <c r="L67" s="4">
        <v>74071</v>
      </c>
      <c r="M67" s="2">
        <v>71.38</v>
      </c>
      <c r="N67" s="2">
        <v>2.42</v>
      </c>
      <c r="O67" s="2">
        <v>13.5</v>
      </c>
      <c r="P67" s="2">
        <v>14.7</v>
      </c>
      <c r="Q67" s="2">
        <v>20.22</v>
      </c>
    </row>
    <row r="68" spans="1:17" x14ac:dyDescent="0.25">
      <c r="A68" s="1">
        <v>67</v>
      </c>
      <c r="B68" s="2" t="s">
        <v>86</v>
      </c>
      <c r="C68" s="2" t="s">
        <v>25</v>
      </c>
      <c r="D68" s="3">
        <v>44307</v>
      </c>
      <c r="E68" s="2" t="s">
        <v>26</v>
      </c>
      <c r="F68" s="4">
        <v>3162</v>
      </c>
      <c r="G68" s="5">
        <v>0.124</v>
      </c>
      <c r="H68" s="4">
        <v>3159</v>
      </c>
      <c r="I68" s="5">
        <v>0.155</v>
      </c>
      <c r="J68" s="4">
        <v>2007</v>
      </c>
      <c r="K68" s="5">
        <v>0.45800000000000002</v>
      </c>
      <c r="L68" s="4">
        <v>25473</v>
      </c>
      <c r="M68" s="2">
        <v>43.57</v>
      </c>
      <c r="N68" s="2">
        <v>2.57</v>
      </c>
      <c r="O68" s="2">
        <v>12.8</v>
      </c>
      <c r="P68" s="2">
        <v>22.4</v>
      </c>
      <c r="Q68" s="2">
        <v>17.2</v>
      </c>
    </row>
    <row r="69" spans="1:17" ht="36" x14ac:dyDescent="0.25">
      <c r="B69" s="8" t="s">
        <v>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69"/>
  <sheetViews>
    <sheetView workbookViewId="0">
      <selection activeCell="G2" sqref="G2"/>
    </sheetView>
  </sheetViews>
  <sheetFormatPr defaultRowHeight="15.75" x14ac:dyDescent="0.25"/>
  <cols>
    <col min="1" max="1" width="2.375" bestFit="1" customWidth="1"/>
    <col min="2" max="2" width="9.5" bestFit="1" customWidth="1"/>
    <col min="3" max="3" width="15.875" bestFit="1" customWidth="1"/>
    <col min="4" max="4" width="10.125" bestFit="1" customWidth="1"/>
    <col min="5" max="5" width="10.25" bestFit="1" customWidth="1"/>
    <col min="6" max="6" width="8.125" bestFit="1" customWidth="1"/>
    <col min="7" max="7" width="13.875" bestFit="1" customWidth="1"/>
    <col min="8" max="8" width="9.875" bestFit="1" customWidth="1"/>
    <col min="9" max="9" width="15.625" bestFit="1" customWidth="1"/>
    <col min="10" max="10" width="9.875" bestFit="1" customWidth="1"/>
    <col min="11" max="11" width="15.625" bestFit="1" customWidth="1"/>
    <col min="12" max="12" width="12" bestFit="1" customWidth="1"/>
    <col min="13" max="13" width="13.75" bestFit="1" customWidth="1"/>
    <col min="14" max="14" width="9.5" bestFit="1" customWidth="1"/>
    <col min="15" max="15" width="13.375" bestFit="1" customWidth="1"/>
    <col min="16" max="16" width="9.125" bestFit="1" customWidth="1"/>
    <col min="17" max="17" width="6.125" bestFit="1" customWidth="1"/>
  </cols>
  <sheetData>
    <row r="1" spans="1:17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</row>
    <row r="2" spans="1:17" x14ac:dyDescent="0.25">
      <c r="A2" s="2">
        <v>1</v>
      </c>
      <c r="B2" s="2" t="s">
        <v>16</v>
      </c>
      <c r="C2" s="2" t="s">
        <v>17</v>
      </c>
      <c r="D2" s="3">
        <v>44308</v>
      </c>
      <c r="E2" s="2">
        <v>112.99</v>
      </c>
      <c r="F2" s="4">
        <v>77333</v>
      </c>
      <c r="G2" s="5">
        <v>0.28699999999999998</v>
      </c>
      <c r="H2" s="4">
        <v>77251</v>
      </c>
      <c r="I2" s="6">
        <v>0.35</v>
      </c>
      <c r="J2" s="4">
        <v>31509</v>
      </c>
      <c r="K2" s="5">
        <v>0.80200000000000005</v>
      </c>
      <c r="L2" s="4">
        <v>269043</v>
      </c>
      <c r="M2" s="2">
        <v>307.29000000000002</v>
      </c>
      <c r="N2" s="2">
        <v>2.54</v>
      </c>
      <c r="O2" s="2">
        <v>9.1999999999999993</v>
      </c>
      <c r="P2" s="2">
        <v>21.8</v>
      </c>
      <c r="Q2" s="2">
        <v>14.6</v>
      </c>
    </row>
    <row r="3" spans="1:17" x14ac:dyDescent="0.25">
      <c r="A3" s="2">
        <v>2</v>
      </c>
      <c r="B3" s="2" t="s">
        <v>18</v>
      </c>
      <c r="C3" s="2" t="s">
        <v>17</v>
      </c>
      <c r="D3" s="3">
        <v>44308</v>
      </c>
      <c r="E3" s="2">
        <v>123.25</v>
      </c>
      <c r="F3" s="4">
        <v>3634</v>
      </c>
      <c r="G3" s="5">
        <v>0.124</v>
      </c>
      <c r="H3" s="4">
        <v>3634</v>
      </c>
      <c r="I3" s="5">
        <v>0.16300000000000001</v>
      </c>
      <c r="J3" s="4">
        <v>2208</v>
      </c>
      <c r="K3" s="5">
        <v>0.53600000000000003</v>
      </c>
      <c r="L3" s="4">
        <v>29210</v>
      </c>
      <c r="M3" s="2">
        <v>49.91</v>
      </c>
      <c r="N3" s="2">
        <v>2.92</v>
      </c>
      <c r="O3" s="2">
        <v>12.5</v>
      </c>
      <c r="P3" s="2">
        <v>14.6</v>
      </c>
      <c r="Q3" s="2">
        <v>14.09</v>
      </c>
    </row>
    <row r="4" spans="1:17" x14ac:dyDescent="0.25">
      <c r="A4" s="2">
        <v>3</v>
      </c>
      <c r="B4" s="2" t="s">
        <v>20</v>
      </c>
      <c r="C4" s="2" t="s">
        <v>19</v>
      </c>
      <c r="D4" s="3">
        <v>44308</v>
      </c>
      <c r="E4" s="2">
        <v>84.71</v>
      </c>
      <c r="F4" s="4">
        <v>37092</v>
      </c>
      <c r="G4" s="5">
        <v>0.21199999999999999</v>
      </c>
      <c r="H4" s="4">
        <v>37069</v>
      </c>
      <c r="I4" s="5">
        <v>0.26700000000000002</v>
      </c>
      <c r="J4" s="4">
        <v>19198</v>
      </c>
      <c r="K4" s="6">
        <v>0.59</v>
      </c>
      <c r="L4" s="4">
        <v>174705</v>
      </c>
      <c r="M4" s="2">
        <v>230.3</v>
      </c>
      <c r="N4" s="2">
        <v>2.57</v>
      </c>
      <c r="O4" s="2">
        <v>14.2</v>
      </c>
      <c r="P4" s="2">
        <v>14.7</v>
      </c>
      <c r="Q4" s="2">
        <v>18.62</v>
      </c>
    </row>
    <row r="5" spans="1:17" x14ac:dyDescent="0.25">
      <c r="A5" s="2">
        <v>4</v>
      </c>
      <c r="B5" s="2" t="s">
        <v>21</v>
      </c>
      <c r="C5" s="2" t="s">
        <v>25</v>
      </c>
      <c r="D5" s="3">
        <v>44308</v>
      </c>
      <c r="E5" s="2">
        <v>42.55</v>
      </c>
      <c r="F5" s="4">
        <v>3968</v>
      </c>
      <c r="G5" s="5">
        <v>0.14099999999999999</v>
      </c>
      <c r="H5" s="4">
        <v>3968</v>
      </c>
      <c r="I5" s="5">
        <v>0.17499999999999999</v>
      </c>
      <c r="J5" s="4">
        <v>2549</v>
      </c>
      <c r="K5" s="5">
        <v>0.503</v>
      </c>
      <c r="L5" s="4">
        <v>28201</v>
      </c>
      <c r="M5" s="2">
        <v>95.93</v>
      </c>
      <c r="N5" s="2">
        <v>2.6</v>
      </c>
      <c r="O5" s="2">
        <v>12.4</v>
      </c>
      <c r="P5" s="2">
        <v>20.3</v>
      </c>
      <c r="Q5" s="2">
        <v>17.96</v>
      </c>
    </row>
    <row r="6" spans="1:17" x14ac:dyDescent="0.25">
      <c r="A6" s="2">
        <v>5</v>
      </c>
      <c r="B6" s="2" t="s">
        <v>22</v>
      </c>
      <c r="C6" s="2" t="s">
        <v>17</v>
      </c>
      <c r="D6" s="3">
        <v>44308</v>
      </c>
      <c r="E6" s="2">
        <v>151.84</v>
      </c>
      <c r="F6" s="4">
        <v>152141</v>
      </c>
      <c r="G6" s="5">
        <v>0.253</v>
      </c>
      <c r="H6" s="4">
        <v>152061</v>
      </c>
      <c r="I6" s="5">
        <v>0.309</v>
      </c>
      <c r="J6" s="4">
        <v>92848</v>
      </c>
      <c r="K6" s="5">
        <v>0.63700000000000001</v>
      </c>
      <c r="L6" s="4">
        <v>601942</v>
      </c>
      <c r="M6" s="2">
        <v>593.05999999999995</v>
      </c>
      <c r="N6" s="2">
        <v>2.4900000000000002</v>
      </c>
      <c r="O6" s="2">
        <v>10.8</v>
      </c>
      <c r="P6" s="2">
        <v>12.7</v>
      </c>
      <c r="Q6" s="2">
        <v>24.21</v>
      </c>
    </row>
    <row r="7" spans="1:17" x14ac:dyDescent="0.25">
      <c r="A7" s="2">
        <v>6</v>
      </c>
      <c r="B7" s="2" t="s">
        <v>23</v>
      </c>
      <c r="C7" s="2" t="s">
        <v>17</v>
      </c>
      <c r="D7" s="3">
        <v>44308</v>
      </c>
      <c r="E7" s="2">
        <v>260.91000000000003</v>
      </c>
      <c r="F7" s="4">
        <v>481336</v>
      </c>
      <c r="G7" s="5">
        <v>0.246</v>
      </c>
      <c r="H7" s="4">
        <v>480348</v>
      </c>
      <c r="I7" s="5">
        <v>0.311</v>
      </c>
      <c r="J7" s="4">
        <v>220286</v>
      </c>
      <c r="K7" s="5">
        <v>0.65800000000000003</v>
      </c>
      <c r="L7" s="4">
        <v>1952778</v>
      </c>
      <c r="M7" s="7">
        <v>1623.5</v>
      </c>
      <c r="N7" s="2">
        <v>2.77</v>
      </c>
      <c r="O7" s="2">
        <v>14.6</v>
      </c>
      <c r="P7" s="2">
        <v>13.5</v>
      </c>
      <c r="Q7" s="2">
        <v>17.13</v>
      </c>
    </row>
    <row r="8" spans="1:17" x14ac:dyDescent="0.25">
      <c r="A8" s="2">
        <v>7</v>
      </c>
      <c r="B8" s="2" t="s">
        <v>24</v>
      </c>
      <c r="C8" s="2" t="s">
        <v>25</v>
      </c>
      <c r="D8" s="3">
        <v>44308</v>
      </c>
      <c r="E8" s="2" t="s">
        <v>26</v>
      </c>
      <c r="F8" s="4">
        <v>2111</v>
      </c>
      <c r="G8" s="6">
        <v>0.15</v>
      </c>
      <c r="H8" s="4">
        <v>2111</v>
      </c>
      <c r="I8" s="5">
        <v>0.187</v>
      </c>
      <c r="J8" s="4">
        <v>1397</v>
      </c>
      <c r="K8" s="5">
        <v>0.52300000000000002</v>
      </c>
      <c r="L8" s="4">
        <v>14105</v>
      </c>
      <c r="M8" s="2">
        <v>24.86</v>
      </c>
      <c r="N8" s="2">
        <v>2.73</v>
      </c>
      <c r="O8" s="2">
        <v>18.3</v>
      </c>
      <c r="P8" s="2">
        <v>12.2</v>
      </c>
      <c r="Q8" s="2">
        <v>18.93</v>
      </c>
    </row>
    <row r="9" spans="1:17" x14ac:dyDescent="0.25">
      <c r="A9" s="2">
        <v>8</v>
      </c>
      <c r="B9" s="2" t="s">
        <v>27</v>
      </c>
      <c r="C9" s="2" t="s">
        <v>17</v>
      </c>
      <c r="D9" s="3">
        <v>44308</v>
      </c>
      <c r="E9" s="2">
        <v>133.93</v>
      </c>
      <c r="F9" s="4">
        <v>65886</v>
      </c>
      <c r="G9" s="5">
        <v>0.34899999999999998</v>
      </c>
      <c r="H9" s="4">
        <v>65857</v>
      </c>
      <c r="I9" s="5">
        <v>0.39500000000000002</v>
      </c>
      <c r="J9" s="4">
        <v>51917</v>
      </c>
      <c r="K9" s="5">
        <v>0.67400000000000004</v>
      </c>
      <c r="L9" s="4">
        <v>188910</v>
      </c>
      <c r="M9" s="2">
        <v>277.36</v>
      </c>
      <c r="N9" s="2">
        <v>2.2799999999999998</v>
      </c>
      <c r="O9" s="2">
        <v>11.3</v>
      </c>
      <c r="P9" s="2">
        <v>11.1</v>
      </c>
      <c r="Q9" s="2">
        <v>40.799999999999997</v>
      </c>
    </row>
    <row r="10" spans="1:17" x14ac:dyDescent="0.25">
      <c r="A10" s="2">
        <v>9</v>
      </c>
      <c r="B10" s="2" t="s">
        <v>28</v>
      </c>
      <c r="C10" s="2" t="s">
        <v>17</v>
      </c>
      <c r="D10" s="3">
        <v>44308</v>
      </c>
      <c r="E10" s="2">
        <v>122.28</v>
      </c>
      <c r="F10" s="4">
        <v>42441</v>
      </c>
      <c r="G10" s="5">
        <v>0.28399999999999997</v>
      </c>
      <c r="H10" s="4">
        <v>42434</v>
      </c>
      <c r="I10" s="5">
        <v>0.33200000000000002</v>
      </c>
      <c r="J10" s="4">
        <v>33606</v>
      </c>
      <c r="K10" s="5">
        <v>0.61199999999999999</v>
      </c>
      <c r="L10" s="4">
        <v>149657</v>
      </c>
      <c r="M10" s="2">
        <v>257.18</v>
      </c>
      <c r="N10" s="2">
        <v>2.2400000000000002</v>
      </c>
      <c r="O10" s="2">
        <v>10.4</v>
      </c>
      <c r="P10" s="2">
        <v>16.7</v>
      </c>
      <c r="Q10" s="2">
        <v>36.71</v>
      </c>
    </row>
    <row r="11" spans="1:17" x14ac:dyDescent="0.25">
      <c r="A11" s="2">
        <v>10</v>
      </c>
      <c r="B11" s="2" t="s">
        <v>29</v>
      </c>
      <c r="C11" s="2" t="s">
        <v>17</v>
      </c>
      <c r="D11" s="3">
        <v>44308</v>
      </c>
      <c r="E11" s="2">
        <v>143.21</v>
      </c>
      <c r="F11" s="4">
        <v>40733</v>
      </c>
      <c r="G11" s="5">
        <v>0.186</v>
      </c>
      <c r="H11" s="4">
        <v>40696</v>
      </c>
      <c r="I11" s="5">
        <v>0.24099999999999999</v>
      </c>
      <c r="J11" s="4">
        <v>20768</v>
      </c>
      <c r="K11" s="5">
        <v>0.57899999999999996</v>
      </c>
      <c r="L11" s="4">
        <v>219252</v>
      </c>
      <c r="M11" s="2">
        <v>362.63</v>
      </c>
      <c r="N11" s="2">
        <v>2.81</v>
      </c>
      <c r="O11" s="2">
        <v>10.4</v>
      </c>
      <c r="P11" s="2">
        <v>10.6</v>
      </c>
      <c r="Q11" s="2">
        <v>16.350000000000001</v>
      </c>
    </row>
    <row r="12" spans="1:17" x14ac:dyDescent="0.25">
      <c r="A12" s="2">
        <v>11</v>
      </c>
      <c r="B12" s="2" t="s">
        <v>30</v>
      </c>
      <c r="C12" s="2" t="s">
        <v>17</v>
      </c>
      <c r="D12" s="3">
        <v>44308</v>
      </c>
      <c r="E12" s="2">
        <v>172.77</v>
      </c>
      <c r="F12" s="4">
        <v>123077</v>
      </c>
      <c r="G12" s="6">
        <v>0.32</v>
      </c>
      <c r="H12" s="4">
        <v>123035</v>
      </c>
      <c r="I12" s="5">
        <v>0.38400000000000001</v>
      </c>
      <c r="J12" s="4">
        <v>92202</v>
      </c>
      <c r="K12" s="5">
        <v>0.72799999999999998</v>
      </c>
      <c r="L12" s="4">
        <v>384902</v>
      </c>
      <c r="M12" s="2">
        <v>192.75</v>
      </c>
      <c r="N12" s="2">
        <v>2.5499999999999998</v>
      </c>
      <c r="O12" s="2">
        <v>16.5</v>
      </c>
      <c r="P12" s="2">
        <v>12.3</v>
      </c>
      <c r="Q12" s="2">
        <v>32.92</v>
      </c>
    </row>
    <row r="13" spans="1:17" x14ac:dyDescent="0.25">
      <c r="A13" s="2">
        <v>12</v>
      </c>
      <c r="B13" s="2" t="s">
        <v>31</v>
      </c>
      <c r="C13" s="2" t="s">
        <v>19</v>
      </c>
      <c r="D13" s="3">
        <v>44308</v>
      </c>
      <c r="E13" s="2">
        <v>68.349999999999994</v>
      </c>
      <c r="F13" s="4">
        <v>12811</v>
      </c>
      <c r="G13" s="5">
        <v>0.17899999999999999</v>
      </c>
      <c r="H13" s="4">
        <v>12807</v>
      </c>
      <c r="I13" s="5">
        <v>0.22800000000000001</v>
      </c>
      <c r="J13" s="4">
        <v>7791</v>
      </c>
      <c r="K13" s="5">
        <v>0.56399999999999995</v>
      </c>
      <c r="L13" s="4">
        <v>71686</v>
      </c>
      <c r="M13" s="2">
        <v>89.88</v>
      </c>
      <c r="N13" s="2">
        <v>2.57</v>
      </c>
      <c r="O13" s="2">
        <v>12.4</v>
      </c>
      <c r="P13" s="2">
        <v>17.399999999999999</v>
      </c>
      <c r="Q13" s="2">
        <v>19.260000000000002</v>
      </c>
    </row>
    <row r="14" spans="1:17" x14ac:dyDescent="0.25">
      <c r="A14" s="2">
        <v>13</v>
      </c>
      <c r="B14" s="2" t="s">
        <v>32</v>
      </c>
      <c r="C14" s="2" t="s">
        <v>17</v>
      </c>
      <c r="D14" s="3">
        <v>44308</v>
      </c>
      <c r="E14" s="2">
        <v>155.26</v>
      </c>
      <c r="F14" s="4">
        <v>6213</v>
      </c>
      <c r="G14" s="5">
        <v>0.16300000000000001</v>
      </c>
      <c r="H14" s="4">
        <v>6213</v>
      </c>
      <c r="I14" s="5">
        <v>0.20100000000000001</v>
      </c>
      <c r="J14" s="4">
        <v>4575</v>
      </c>
      <c r="K14" s="5">
        <v>0.53500000000000003</v>
      </c>
      <c r="L14" s="4">
        <v>38001</v>
      </c>
      <c r="M14" s="2">
        <v>59.68</v>
      </c>
      <c r="N14" s="2">
        <v>2.74</v>
      </c>
      <c r="O14" s="2">
        <v>18.399999999999999</v>
      </c>
      <c r="P14" s="2">
        <v>28.5</v>
      </c>
      <c r="Q14" s="2">
        <v>22.52</v>
      </c>
    </row>
    <row r="15" spans="1:17" x14ac:dyDescent="0.25">
      <c r="A15" s="2">
        <v>14</v>
      </c>
      <c r="B15" s="2" t="s">
        <v>33</v>
      </c>
      <c r="C15" s="2" t="s">
        <v>19</v>
      </c>
      <c r="D15" s="3">
        <v>44308</v>
      </c>
      <c r="E15" s="2">
        <v>65.38</v>
      </c>
      <c r="F15" s="4">
        <v>2543</v>
      </c>
      <c r="G15" s="5">
        <v>0.151</v>
      </c>
      <c r="H15" s="4">
        <v>2543</v>
      </c>
      <c r="I15" s="5">
        <v>0.185</v>
      </c>
      <c r="J15" s="4">
        <v>1893</v>
      </c>
      <c r="K15" s="5">
        <v>0.47499999999999998</v>
      </c>
      <c r="L15" s="4">
        <v>16826</v>
      </c>
      <c r="M15" s="2">
        <v>23.86</v>
      </c>
      <c r="N15" s="2">
        <v>2.2799999999999998</v>
      </c>
      <c r="O15" s="2">
        <v>17.2</v>
      </c>
      <c r="P15" s="2">
        <v>23.1</v>
      </c>
      <c r="Q15" s="2">
        <v>23.68</v>
      </c>
    </row>
    <row r="16" spans="1:17" x14ac:dyDescent="0.25">
      <c r="A16" s="2">
        <v>15</v>
      </c>
      <c r="B16" s="2" t="s">
        <v>34</v>
      </c>
      <c r="C16" s="2" t="s">
        <v>17</v>
      </c>
      <c r="D16" s="3">
        <v>44308</v>
      </c>
      <c r="E16" s="2">
        <v>121.74</v>
      </c>
      <c r="F16" s="4">
        <v>235811</v>
      </c>
      <c r="G16" s="5">
        <v>0.246</v>
      </c>
      <c r="H16" s="4">
        <v>235550</v>
      </c>
      <c r="I16" s="5">
        <v>0.317</v>
      </c>
      <c r="J16" s="4">
        <v>98055</v>
      </c>
      <c r="K16" s="5">
        <v>0.70699999999999996</v>
      </c>
      <c r="L16" s="4">
        <v>957755</v>
      </c>
      <c r="M16" s="7">
        <v>1255.8599999999999</v>
      </c>
      <c r="N16" s="2">
        <v>2.5499999999999998</v>
      </c>
      <c r="O16" s="2">
        <v>12</v>
      </c>
      <c r="P16" s="2">
        <v>15.5</v>
      </c>
      <c r="Q16" s="2">
        <v>14.47</v>
      </c>
    </row>
    <row r="17" spans="1:17" x14ac:dyDescent="0.25">
      <c r="A17" s="2">
        <v>16</v>
      </c>
      <c r="B17" s="2" t="s">
        <v>35</v>
      </c>
      <c r="C17" s="2" t="s">
        <v>19</v>
      </c>
      <c r="D17" s="3">
        <v>44308</v>
      </c>
      <c r="E17" s="2">
        <v>83.56</v>
      </c>
      <c r="F17" s="4">
        <v>73014</v>
      </c>
      <c r="G17" s="5">
        <v>0.22900000000000001</v>
      </c>
      <c r="H17" s="4">
        <v>72975</v>
      </c>
      <c r="I17" s="5">
        <v>0.28899999999999998</v>
      </c>
      <c r="J17" s="4">
        <v>36158</v>
      </c>
      <c r="K17" s="5">
        <v>0.66300000000000003</v>
      </c>
      <c r="L17" s="4">
        <v>318316</v>
      </c>
      <c r="M17" s="2">
        <v>484.52</v>
      </c>
      <c r="N17" s="2">
        <v>2.4700000000000002</v>
      </c>
      <c r="O17" s="2">
        <v>10.199999999999999</v>
      </c>
      <c r="P17" s="2">
        <v>13.9</v>
      </c>
      <c r="Q17" s="2">
        <v>17.14</v>
      </c>
    </row>
    <row r="18" spans="1:17" x14ac:dyDescent="0.25">
      <c r="A18" s="2">
        <v>17</v>
      </c>
      <c r="B18" s="2" t="s">
        <v>36</v>
      </c>
      <c r="C18" s="2" t="s">
        <v>17</v>
      </c>
      <c r="D18" s="3">
        <v>44308</v>
      </c>
      <c r="E18" s="2">
        <v>122.52</v>
      </c>
      <c r="F18" s="4">
        <v>34614</v>
      </c>
      <c r="G18" s="5">
        <v>0.30099999999999999</v>
      </c>
      <c r="H18" s="4">
        <v>34604</v>
      </c>
      <c r="I18" s="5">
        <v>0.36099999999999999</v>
      </c>
      <c r="J18" s="4">
        <v>24991</v>
      </c>
      <c r="K18" s="5">
        <v>0.69599999999999995</v>
      </c>
      <c r="L18" s="4">
        <v>115081</v>
      </c>
      <c r="M18" s="2">
        <v>237.21</v>
      </c>
      <c r="N18" s="2">
        <v>2.62</v>
      </c>
      <c r="O18" s="2">
        <v>12.7</v>
      </c>
      <c r="P18" s="2">
        <v>11.9</v>
      </c>
      <c r="Q18" s="2">
        <v>31.19</v>
      </c>
    </row>
    <row r="19" spans="1:17" x14ac:dyDescent="0.25">
      <c r="A19" s="2">
        <v>18</v>
      </c>
      <c r="B19" s="2" t="s">
        <v>37</v>
      </c>
      <c r="C19" s="2" t="s">
        <v>19</v>
      </c>
      <c r="D19" s="3">
        <v>44308</v>
      </c>
      <c r="E19" s="2" t="s">
        <v>26</v>
      </c>
      <c r="F19" s="4">
        <v>3015</v>
      </c>
      <c r="G19" s="5">
        <v>0.249</v>
      </c>
      <c r="H19" s="4">
        <v>3015</v>
      </c>
      <c r="I19" s="5">
        <v>0.29399999999999998</v>
      </c>
      <c r="J19" s="4">
        <v>2067</v>
      </c>
      <c r="K19" s="5">
        <v>0.70599999999999996</v>
      </c>
      <c r="L19" s="4">
        <v>12125</v>
      </c>
      <c r="M19" s="2">
        <v>22.24</v>
      </c>
      <c r="N19" s="2">
        <v>2.35</v>
      </c>
      <c r="O19" s="2">
        <v>18.3</v>
      </c>
      <c r="P19" s="2">
        <v>20.7</v>
      </c>
      <c r="Q19" s="2">
        <v>24.13</v>
      </c>
    </row>
    <row r="20" spans="1:17" x14ac:dyDescent="0.25">
      <c r="A20" s="2">
        <v>19</v>
      </c>
      <c r="B20" s="2" t="s">
        <v>38</v>
      </c>
      <c r="C20" s="2" t="s">
        <v>19</v>
      </c>
      <c r="D20" s="3">
        <v>44308</v>
      </c>
      <c r="E20" s="2">
        <v>59.13</v>
      </c>
      <c r="F20" s="4">
        <v>11756</v>
      </c>
      <c r="G20" s="5">
        <v>0.25700000000000001</v>
      </c>
      <c r="H20" s="4">
        <v>11748</v>
      </c>
      <c r="I20" s="5">
        <v>0.32800000000000001</v>
      </c>
      <c r="J20" s="4">
        <v>6008</v>
      </c>
      <c r="K20" s="5">
        <v>0.70399999999999996</v>
      </c>
      <c r="L20" s="4">
        <v>45660</v>
      </c>
      <c r="M20" s="2">
        <v>88.44</v>
      </c>
      <c r="N20" s="2">
        <v>2.4700000000000002</v>
      </c>
      <c r="O20" s="2">
        <v>14.9</v>
      </c>
      <c r="P20" s="2">
        <v>24.6</v>
      </c>
      <c r="Q20" s="2">
        <v>18.7</v>
      </c>
    </row>
    <row r="21" spans="1:17" x14ac:dyDescent="0.25">
      <c r="A21" s="2">
        <v>20</v>
      </c>
      <c r="B21" s="2" t="s">
        <v>39</v>
      </c>
      <c r="C21" s="2" t="s">
        <v>17</v>
      </c>
      <c r="D21" s="3">
        <v>44308</v>
      </c>
      <c r="E21" s="2">
        <v>166.83</v>
      </c>
      <c r="F21" s="4">
        <v>2824</v>
      </c>
      <c r="G21" s="5">
        <v>0.152</v>
      </c>
      <c r="H21" s="4">
        <v>2822</v>
      </c>
      <c r="I21" s="6">
        <v>0.19</v>
      </c>
      <c r="J21" s="4">
        <v>1847</v>
      </c>
      <c r="K21" s="5">
        <v>0.48099999999999998</v>
      </c>
      <c r="L21" s="4">
        <v>18582</v>
      </c>
      <c r="M21" s="2">
        <v>53.14</v>
      </c>
      <c r="N21" s="2">
        <v>2.5</v>
      </c>
      <c r="O21" s="2">
        <v>18.100000000000001</v>
      </c>
      <c r="P21" s="2">
        <v>17.899999999999999</v>
      </c>
      <c r="Q21" s="2">
        <v>20.65</v>
      </c>
    </row>
    <row r="22" spans="1:17" x14ac:dyDescent="0.25">
      <c r="A22" s="2">
        <v>21</v>
      </c>
      <c r="B22" s="2" t="s">
        <v>40</v>
      </c>
      <c r="C22" s="2" t="s">
        <v>19</v>
      </c>
      <c r="D22" s="3">
        <v>44308</v>
      </c>
      <c r="E22" s="2" t="s">
        <v>26</v>
      </c>
      <c r="F22" s="4">
        <v>1928</v>
      </c>
      <c r="G22" s="6">
        <v>0.14000000000000001</v>
      </c>
      <c r="H22" s="4">
        <v>1928</v>
      </c>
      <c r="I22" s="5">
        <v>0.16300000000000001</v>
      </c>
      <c r="J22" s="4">
        <v>1359</v>
      </c>
      <c r="K22" s="5">
        <v>0.35699999999999998</v>
      </c>
      <c r="L22" s="4">
        <v>13811</v>
      </c>
      <c r="M22" s="2">
        <v>17.12</v>
      </c>
      <c r="N22" s="2">
        <v>2.71</v>
      </c>
      <c r="O22" s="2">
        <v>19.899999999999999</v>
      </c>
      <c r="P22" s="2">
        <v>17</v>
      </c>
      <c r="Q22" s="2">
        <v>27.57</v>
      </c>
    </row>
    <row r="23" spans="1:17" x14ac:dyDescent="0.25">
      <c r="A23" s="2">
        <v>22</v>
      </c>
      <c r="B23" s="2" t="s">
        <v>41</v>
      </c>
      <c r="C23" s="2" t="s">
        <v>25</v>
      </c>
      <c r="D23" s="3">
        <v>44308</v>
      </c>
      <c r="E23" s="2" t="s">
        <v>26</v>
      </c>
      <c r="F23" s="4">
        <v>3267</v>
      </c>
      <c r="G23" s="6">
        <v>0.24</v>
      </c>
      <c r="H23" s="4">
        <v>3267</v>
      </c>
      <c r="I23" s="5">
        <v>0.29299999999999998</v>
      </c>
      <c r="J23" s="4">
        <v>2321</v>
      </c>
      <c r="K23" s="5">
        <v>0.64200000000000002</v>
      </c>
      <c r="L23" s="4">
        <v>13639</v>
      </c>
      <c r="M23" s="2">
        <v>24.64</v>
      </c>
      <c r="N23" s="2">
        <v>2.5499999999999998</v>
      </c>
      <c r="O23" s="2">
        <v>11.4</v>
      </c>
      <c r="P23" s="2">
        <v>13.9</v>
      </c>
      <c r="Q23" s="2">
        <v>26.5</v>
      </c>
    </row>
    <row r="24" spans="1:17" x14ac:dyDescent="0.25">
      <c r="A24" s="2">
        <v>23</v>
      </c>
      <c r="B24" s="2" t="s">
        <v>42</v>
      </c>
      <c r="C24" s="2" t="s">
        <v>17</v>
      </c>
      <c r="D24" s="3">
        <v>44308</v>
      </c>
      <c r="E24" s="2">
        <v>103.96</v>
      </c>
      <c r="F24" s="4">
        <v>2293</v>
      </c>
      <c r="G24" s="5">
        <v>0.159</v>
      </c>
      <c r="H24" s="4">
        <v>2293</v>
      </c>
      <c r="I24" s="5">
        <v>0.19600000000000001</v>
      </c>
      <c r="J24" s="4">
        <v>1509</v>
      </c>
      <c r="K24" s="5">
        <v>0.56599999999999995</v>
      </c>
      <c r="L24" s="4">
        <v>14428</v>
      </c>
      <c r="M24" s="2">
        <v>28.08</v>
      </c>
      <c r="N24" s="2">
        <v>2.44</v>
      </c>
      <c r="O24" s="2">
        <v>14.3</v>
      </c>
      <c r="P24" s="2">
        <v>29.5</v>
      </c>
      <c r="Q24" s="2">
        <v>18.46</v>
      </c>
    </row>
    <row r="25" spans="1:17" x14ac:dyDescent="0.25">
      <c r="A25" s="2">
        <v>24</v>
      </c>
      <c r="B25" s="2" t="s">
        <v>43</v>
      </c>
      <c r="C25" s="2" t="s">
        <v>17</v>
      </c>
      <c r="D25" s="3">
        <v>44308</v>
      </c>
      <c r="E25" s="2">
        <v>193.04</v>
      </c>
      <c r="F25" s="4">
        <v>3285</v>
      </c>
      <c r="G25" s="5">
        <v>0.122</v>
      </c>
      <c r="H25" s="4">
        <v>3284</v>
      </c>
      <c r="I25" s="5">
        <v>0.16400000000000001</v>
      </c>
      <c r="J25" s="4">
        <v>2382</v>
      </c>
      <c r="K25" s="5">
        <v>0.50700000000000001</v>
      </c>
      <c r="L25" s="4">
        <v>26937</v>
      </c>
      <c r="M25" s="2">
        <v>42.25</v>
      </c>
      <c r="N25" s="2">
        <v>3.22</v>
      </c>
      <c r="O25" s="2">
        <v>12.2</v>
      </c>
      <c r="P25" s="2">
        <v>26.7</v>
      </c>
      <c r="Q25" s="2">
        <v>17.43</v>
      </c>
    </row>
    <row r="26" spans="1:17" x14ac:dyDescent="0.25">
      <c r="A26" s="2">
        <v>25</v>
      </c>
      <c r="B26" s="2" t="s">
        <v>44</v>
      </c>
      <c r="C26" s="2" t="s">
        <v>17</v>
      </c>
      <c r="D26" s="3">
        <v>44308</v>
      </c>
      <c r="E26" s="2">
        <v>107.09</v>
      </c>
      <c r="F26" s="4">
        <v>6498</v>
      </c>
      <c r="G26" s="5">
        <v>0.155</v>
      </c>
      <c r="H26" s="4">
        <v>6495</v>
      </c>
      <c r="I26" s="5">
        <v>0.21099999999999999</v>
      </c>
      <c r="J26" s="4">
        <v>3625</v>
      </c>
      <c r="K26" s="5">
        <v>0.627</v>
      </c>
      <c r="L26" s="4">
        <v>42022</v>
      </c>
      <c r="M26" s="2">
        <v>36.340000000000003</v>
      </c>
      <c r="N26" s="2">
        <v>3.17</v>
      </c>
      <c r="O26" s="2">
        <v>26.2</v>
      </c>
      <c r="P26" s="2">
        <v>26.8</v>
      </c>
      <c r="Q26" s="2">
        <v>13.75</v>
      </c>
    </row>
    <row r="27" spans="1:17" x14ac:dyDescent="0.25">
      <c r="A27" s="2">
        <v>26</v>
      </c>
      <c r="B27" s="2" t="s">
        <v>45</v>
      </c>
      <c r="C27" s="2" t="s">
        <v>17</v>
      </c>
      <c r="D27" s="3">
        <v>44308</v>
      </c>
      <c r="E27" s="2">
        <v>191.83</v>
      </c>
      <c r="F27" s="4">
        <v>45410</v>
      </c>
      <c r="G27" s="5">
        <v>0.23400000000000001</v>
      </c>
      <c r="H27" s="4">
        <v>45389</v>
      </c>
      <c r="I27" s="5">
        <v>0.28599999999999998</v>
      </c>
      <c r="J27" s="4">
        <v>31682</v>
      </c>
      <c r="K27" s="5">
        <v>0.59399999999999997</v>
      </c>
      <c r="L27" s="4">
        <v>193920</v>
      </c>
      <c r="M27" s="2">
        <v>410.01</v>
      </c>
      <c r="N27" s="2">
        <v>2.46</v>
      </c>
      <c r="O27" s="2">
        <v>12.6</v>
      </c>
      <c r="P27" s="2">
        <v>14.3</v>
      </c>
      <c r="Q27" s="2">
        <v>27.51</v>
      </c>
    </row>
    <row r="28" spans="1:17" x14ac:dyDescent="0.25">
      <c r="A28" s="2">
        <v>27</v>
      </c>
      <c r="B28" s="2" t="s">
        <v>46</v>
      </c>
      <c r="C28" s="2" t="s">
        <v>17</v>
      </c>
      <c r="D28" s="3">
        <v>44308</v>
      </c>
      <c r="E28" s="2">
        <v>194.88</v>
      </c>
      <c r="F28" s="4">
        <v>25331</v>
      </c>
      <c r="G28" s="5">
        <v>0.23799999999999999</v>
      </c>
      <c r="H28" s="4">
        <v>25328</v>
      </c>
      <c r="I28" s="5">
        <v>0.28699999999999998</v>
      </c>
      <c r="J28" s="4">
        <v>20048</v>
      </c>
      <c r="K28" s="5">
        <v>0.52400000000000002</v>
      </c>
      <c r="L28" s="4">
        <v>106221</v>
      </c>
      <c r="M28" s="2">
        <v>104.38</v>
      </c>
      <c r="N28" s="2">
        <v>2.44</v>
      </c>
      <c r="O28" s="2">
        <v>12.7</v>
      </c>
      <c r="P28" s="2">
        <v>19.2</v>
      </c>
      <c r="Q28" s="2">
        <v>36.049999999999997</v>
      </c>
    </row>
    <row r="29" spans="1:17" x14ac:dyDescent="0.25">
      <c r="A29" s="2">
        <v>28</v>
      </c>
      <c r="B29" s="2" t="s">
        <v>47</v>
      </c>
      <c r="C29" s="2" t="s">
        <v>17</v>
      </c>
      <c r="D29" s="3">
        <v>44308</v>
      </c>
      <c r="E29" s="2">
        <v>231.32</v>
      </c>
      <c r="F29" s="4">
        <v>325442</v>
      </c>
      <c r="G29" s="5">
        <v>0.221</v>
      </c>
      <c r="H29" s="4">
        <v>325095</v>
      </c>
      <c r="I29" s="5">
        <v>0.28299999999999997</v>
      </c>
      <c r="J29" s="4">
        <v>130027</v>
      </c>
      <c r="K29" s="5">
        <v>0.60799999999999998</v>
      </c>
      <c r="L29" s="4">
        <v>1471968</v>
      </c>
      <c r="M29" s="7">
        <v>1440.39</v>
      </c>
      <c r="N29" s="2">
        <v>2.63</v>
      </c>
      <c r="O29" s="2">
        <v>13</v>
      </c>
      <c r="P29" s="2">
        <v>15.3</v>
      </c>
      <c r="Q29" s="2">
        <v>14.54</v>
      </c>
    </row>
    <row r="30" spans="1:17" x14ac:dyDescent="0.25">
      <c r="A30" s="2">
        <v>29</v>
      </c>
      <c r="B30" s="2" t="s">
        <v>48</v>
      </c>
      <c r="C30" s="2" t="s">
        <v>25</v>
      </c>
      <c r="D30" s="3">
        <v>44308</v>
      </c>
      <c r="E30" s="2" t="s">
        <v>26</v>
      </c>
      <c r="F30" s="4">
        <v>2561</v>
      </c>
      <c r="G30" s="5">
        <v>0.13100000000000001</v>
      </c>
      <c r="H30" s="4">
        <v>2560</v>
      </c>
      <c r="I30" s="5">
        <v>0.16400000000000001</v>
      </c>
      <c r="J30" s="4">
        <v>1717</v>
      </c>
      <c r="K30" s="5">
        <v>0.438</v>
      </c>
      <c r="L30" s="4">
        <v>19617</v>
      </c>
      <c r="M30" s="2">
        <v>40.97</v>
      </c>
      <c r="N30" s="2">
        <v>2.5099999999999998</v>
      </c>
      <c r="O30" s="2">
        <v>18.899999999999999</v>
      </c>
      <c r="P30" s="2">
        <v>25.6</v>
      </c>
      <c r="Q30" s="2">
        <v>19.989999999999998</v>
      </c>
    </row>
    <row r="31" spans="1:17" x14ac:dyDescent="0.25">
      <c r="A31" s="2">
        <v>30</v>
      </c>
      <c r="B31" s="2" t="s">
        <v>49</v>
      </c>
      <c r="C31" s="2" t="s">
        <v>17</v>
      </c>
      <c r="D31" s="3">
        <v>44308</v>
      </c>
      <c r="E31" s="2">
        <v>103.17</v>
      </c>
      <c r="F31" s="4">
        <v>48487</v>
      </c>
      <c r="G31" s="5">
        <v>0.30299999999999999</v>
      </c>
      <c r="H31" s="4">
        <v>48471</v>
      </c>
      <c r="I31" s="5">
        <v>0.35899999999999999</v>
      </c>
      <c r="J31" s="4">
        <v>36535</v>
      </c>
      <c r="K31" s="5">
        <v>0.67500000000000004</v>
      </c>
      <c r="L31" s="4">
        <v>159923</v>
      </c>
      <c r="M31" s="2">
        <v>318.08</v>
      </c>
      <c r="N31" s="2">
        <v>2.6</v>
      </c>
      <c r="O31" s="2">
        <v>12.1</v>
      </c>
      <c r="P31" s="2">
        <v>12.2</v>
      </c>
      <c r="Q31" s="2">
        <v>33.85</v>
      </c>
    </row>
    <row r="32" spans="1:17" x14ac:dyDescent="0.25">
      <c r="A32" s="2">
        <v>31</v>
      </c>
      <c r="B32" s="2" t="s">
        <v>50</v>
      </c>
      <c r="C32" s="2" t="s">
        <v>19</v>
      </c>
      <c r="D32" s="3">
        <v>44308</v>
      </c>
      <c r="E32" s="2">
        <v>60.33</v>
      </c>
      <c r="F32" s="4">
        <v>8687</v>
      </c>
      <c r="G32" s="5">
        <v>0.187</v>
      </c>
      <c r="H32" s="4">
        <v>8686</v>
      </c>
      <c r="I32" s="5">
        <v>0.23100000000000001</v>
      </c>
      <c r="J32" s="4">
        <v>5204</v>
      </c>
      <c r="K32" s="5">
        <v>0.54400000000000004</v>
      </c>
      <c r="L32" s="4">
        <v>46414</v>
      </c>
      <c r="M32" s="2">
        <v>50.55</v>
      </c>
      <c r="N32" s="2">
        <v>2.4</v>
      </c>
      <c r="O32" s="2">
        <v>11.3</v>
      </c>
      <c r="P32" s="2">
        <v>20.6</v>
      </c>
      <c r="Q32" s="2">
        <v>20.62</v>
      </c>
    </row>
    <row r="33" spans="1:17" x14ac:dyDescent="0.25">
      <c r="A33" s="2">
        <v>32</v>
      </c>
      <c r="B33" s="2" t="s">
        <v>51</v>
      </c>
      <c r="C33" s="2" t="s">
        <v>17</v>
      </c>
      <c r="D33" s="3">
        <v>44308</v>
      </c>
      <c r="E33" s="2">
        <v>112.31</v>
      </c>
      <c r="F33" s="4">
        <v>4484</v>
      </c>
      <c r="G33" s="5">
        <v>0.315</v>
      </c>
      <c r="H33" s="4">
        <v>4484</v>
      </c>
      <c r="I33" s="5">
        <v>0.377</v>
      </c>
      <c r="J33" s="4">
        <v>3188</v>
      </c>
      <c r="K33" s="5">
        <v>0.90800000000000003</v>
      </c>
      <c r="L33" s="4">
        <v>14246</v>
      </c>
      <c r="M33" s="2">
        <v>23.82</v>
      </c>
      <c r="N33" s="2">
        <v>2.04</v>
      </c>
      <c r="O33" s="2">
        <v>6.4</v>
      </c>
      <c r="P33" s="2">
        <v>14.1</v>
      </c>
      <c r="Q33" s="2">
        <v>24.65</v>
      </c>
    </row>
    <row r="34" spans="1:17" x14ac:dyDescent="0.25">
      <c r="A34" s="2">
        <v>33</v>
      </c>
      <c r="B34" s="2" t="s">
        <v>52</v>
      </c>
      <c r="C34" s="2" t="s">
        <v>25</v>
      </c>
      <c r="D34" s="3">
        <v>44308</v>
      </c>
      <c r="E34" s="2" t="s">
        <v>26</v>
      </c>
      <c r="F34" s="4">
        <v>1351</v>
      </c>
      <c r="G34" s="6">
        <v>0.16</v>
      </c>
      <c r="H34" s="4">
        <v>1351</v>
      </c>
      <c r="I34" s="6">
        <v>0.2</v>
      </c>
      <c r="J34" s="4">
        <v>1065</v>
      </c>
      <c r="K34" s="5">
        <v>0.73199999999999998</v>
      </c>
      <c r="L34" s="4">
        <v>8422</v>
      </c>
      <c r="M34" s="2">
        <v>15.5</v>
      </c>
      <c r="N34" s="2">
        <v>3.43</v>
      </c>
      <c r="O34" s="2">
        <v>17.600000000000001</v>
      </c>
      <c r="P34" s="2">
        <v>20.100000000000001</v>
      </c>
      <c r="Q34" s="2">
        <v>17.28</v>
      </c>
    </row>
    <row r="35" spans="1:17" x14ac:dyDescent="0.25">
      <c r="A35" s="2">
        <v>34</v>
      </c>
      <c r="B35" s="2" t="s">
        <v>53</v>
      </c>
      <c r="C35" s="2" t="s">
        <v>17</v>
      </c>
      <c r="D35" s="3">
        <v>44308</v>
      </c>
      <c r="E35" s="2">
        <v>189.04</v>
      </c>
      <c r="F35" s="4">
        <v>112033</v>
      </c>
      <c r="G35" s="5">
        <v>0.30499999999999999</v>
      </c>
      <c r="H35" s="4">
        <v>111934</v>
      </c>
      <c r="I35" s="5">
        <v>0.376</v>
      </c>
      <c r="J35" s="4">
        <v>76168</v>
      </c>
      <c r="K35" s="5">
        <v>0.76600000000000001</v>
      </c>
      <c r="L35" s="4">
        <v>367118</v>
      </c>
      <c r="M35" s="2">
        <v>386.13</v>
      </c>
      <c r="N35" s="2">
        <v>2.5499999999999998</v>
      </c>
      <c r="O35" s="2">
        <v>11.6</v>
      </c>
      <c r="P35" s="2">
        <v>12.5</v>
      </c>
      <c r="Q35" s="2">
        <v>27.07</v>
      </c>
    </row>
    <row r="36" spans="1:17" x14ac:dyDescent="0.25">
      <c r="A36" s="2">
        <v>35</v>
      </c>
      <c r="B36" s="2" t="s">
        <v>54</v>
      </c>
      <c r="C36" s="2" t="s">
        <v>17</v>
      </c>
      <c r="D36" s="3">
        <v>44308</v>
      </c>
      <c r="E36" s="2">
        <v>213.09</v>
      </c>
      <c r="F36" s="4">
        <v>199258</v>
      </c>
      <c r="G36" s="5">
        <v>0.25900000000000001</v>
      </c>
      <c r="H36" s="4">
        <v>199212</v>
      </c>
      <c r="I36" s="5">
        <v>0.313</v>
      </c>
      <c r="J36" s="4">
        <v>146558</v>
      </c>
      <c r="K36" s="5">
        <v>0.65200000000000002</v>
      </c>
      <c r="L36" s="4">
        <v>770577</v>
      </c>
      <c r="M36" s="2">
        <v>986.08</v>
      </c>
      <c r="N36" s="2">
        <v>2.61</v>
      </c>
      <c r="O36" s="2">
        <v>14.3</v>
      </c>
      <c r="P36" s="2">
        <v>14</v>
      </c>
      <c r="Q36" s="2">
        <v>29.15</v>
      </c>
    </row>
    <row r="37" spans="1:17" x14ac:dyDescent="0.25">
      <c r="A37" s="2">
        <v>36</v>
      </c>
      <c r="B37" s="2" t="s">
        <v>55</v>
      </c>
      <c r="C37" s="2" t="s">
        <v>19</v>
      </c>
      <c r="D37" s="3">
        <v>44308</v>
      </c>
      <c r="E37" s="2">
        <v>86.52</v>
      </c>
      <c r="F37" s="4">
        <v>73172</v>
      </c>
      <c r="G37" s="5">
        <v>0.249</v>
      </c>
      <c r="H37" s="4">
        <v>73058</v>
      </c>
      <c r="I37" s="5">
        <v>0.30599999999999999</v>
      </c>
      <c r="J37" s="4">
        <v>31725</v>
      </c>
      <c r="K37" s="5">
        <v>0.77800000000000002</v>
      </c>
      <c r="L37" s="4">
        <v>293582</v>
      </c>
      <c r="M37" s="2">
        <v>440.23</v>
      </c>
      <c r="N37" s="2">
        <v>2.4300000000000002</v>
      </c>
      <c r="O37" s="2">
        <v>8.1999999999999993</v>
      </c>
      <c r="P37" s="2">
        <v>20.399999999999999</v>
      </c>
      <c r="Q37" s="2">
        <v>13.89</v>
      </c>
    </row>
    <row r="38" spans="1:17" x14ac:dyDescent="0.25">
      <c r="A38" s="2">
        <v>37</v>
      </c>
      <c r="B38" s="2" t="s">
        <v>56</v>
      </c>
      <c r="C38" s="2" t="s">
        <v>17</v>
      </c>
      <c r="D38" s="3">
        <v>44308</v>
      </c>
      <c r="E38" s="2">
        <v>195.17</v>
      </c>
      <c r="F38" s="4">
        <v>8017</v>
      </c>
      <c r="G38" s="5">
        <v>0.193</v>
      </c>
      <c r="H38" s="4">
        <v>8011</v>
      </c>
      <c r="I38" s="6">
        <v>0.24</v>
      </c>
      <c r="J38" s="4">
        <v>5496</v>
      </c>
      <c r="K38" s="5">
        <v>0.52700000000000002</v>
      </c>
      <c r="L38" s="4">
        <v>41503</v>
      </c>
      <c r="M38" s="2">
        <v>37.119999999999997</v>
      </c>
      <c r="N38" s="2">
        <v>2.41</v>
      </c>
      <c r="O38" s="2">
        <v>15.5</v>
      </c>
      <c r="P38" s="2">
        <v>20.7</v>
      </c>
      <c r="Q38" s="2">
        <v>25.15</v>
      </c>
    </row>
    <row r="39" spans="1:17" x14ac:dyDescent="0.25">
      <c r="A39" s="2">
        <v>38</v>
      </c>
      <c r="B39" s="2" t="s">
        <v>57</v>
      </c>
      <c r="C39" s="2" t="s">
        <v>25</v>
      </c>
      <c r="D39" s="3">
        <v>44308</v>
      </c>
      <c r="E39" s="2" t="s">
        <v>26</v>
      </c>
      <c r="F39" s="4">
        <v>1173</v>
      </c>
      <c r="G39" s="6">
        <v>0.14000000000000001</v>
      </c>
      <c r="H39" s="4">
        <v>1173</v>
      </c>
      <c r="I39" s="6">
        <v>0.17</v>
      </c>
      <c r="J39" s="2">
        <v>707</v>
      </c>
      <c r="K39" s="5">
        <v>0.56299999999999994</v>
      </c>
      <c r="L39" s="4">
        <v>8354</v>
      </c>
      <c r="M39" s="2">
        <v>10</v>
      </c>
      <c r="N39" s="2">
        <v>2.9</v>
      </c>
      <c r="O39" s="2">
        <v>18.5</v>
      </c>
      <c r="P39" s="2">
        <v>13</v>
      </c>
      <c r="Q39" s="2">
        <v>15.04</v>
      </c>
    </row>
    <row r="40" spans="1:17" x14ac:dyDescent="0.25">
      <c r="A40" s="2">
        <v>39</v>
      </c>
      <c r="B40" s="2" t="s">
        <v>58</v>
      </c>
      <c r="C40" s="2" t="s">
        <v>25</v>
      </c>
      <c r="D40" s="3">
        <v>44308</v>
      </c>
      <c r="E40" s="2" t="s">
        <v>26</v>
      </c>
      <c r="F40" s="4">
        <v>3857</v>
      </c>
      <c r="G40" s="5">
        <v>0.20899999999999999</v>
      </c>
      <c r="H40" s="4">
        <v>3856</v>
      </c>
      <c r="I40" s="5">
        <v>0.25600000000000001</v>
      </c>
      <c r="J40" s="4">
        <v>2436</v>
      </c>
      <c r="K40" s="5">
        <v>0.624</v>
      </c>
      <c r="L40" s="4">
        <v>18493</v>
      </c>
      <c r="M40" s="2">
        <v>26.55</v>
      </c>
      <c r="N40" s="2">
        <v>2.4500000000000002</v>
      </c>
      <c r="O40" s="2">
        <v>13.1</v>
      </c>
      <c r="P40" s="2">
        <v>28.2</v>
      </c>
      <c r="Q40" s="2">
        <v>21.1</v>
      </c>
    </row>
    <row r="41" spans="1:17" x14ac:dyDescent="0.25">
      <c r="A41" s="2">
        <v>40</v>
      </c>
      <c r="B41" s="2" t="s">
        <v>59</v>
      </c>
      <c r="C41" s="2" t="s">
        <v>17</v>
      </c>
      <c r="D41" s="3">
        <v>44308</v>
      </c>
      <c r="E41" s="2">
        <v>221.45</v>
      </c>
      <c r="F41" s="4">
        <v>105285</v>
      </c>
      <c r="G41" s="5">
        <v>0.26100000000000001</v>
      </c>
      <c r="H41" s="4">
        <v>105252</v>
      </c>
      <c r="I41" s="5">
        <v>0.318</v>
      </c>
      <c r="J41" s="4">
        <v>73403</v>
      </c>
      <c r="K41" s="5">
        <v>0.64900000000000002</v>
      </c>
      <c r="L41" s="4">
        <v>403253</v>
      </c>
      <c r="M41" s="2">
        <v>542.28</v>
      </c>
      <c r="N41" s="2">
        <v>2.57</v>
      </c>
      <c r="O41" s="2">
        <v>12.7</v>
      </c>
      <c r="P41" s="2">
        <v>12.5</v>
      </c>
      <c r="Q41" s="2">
        <v>28.06</v>
      </c>
    </row>
    <row r="42" spans="1:17" x14ac:dyDescent="0.25">
      <c r="A42" s="2">
        <v>41</v>
      </c>
      <c r="B42" s="2" t="s">
        <v>60</v>
      </c>
      <c r="C42" s="2" t="s">
        <v>17</v>
      </c>
      <c r="D42" s="3">
        <v>44308</v>
      </c>
      <c r="E42" s="2">
        <v>123.37</v>
      </c>
      <c r="F42" s="4">
        <v>91745</v>
      </c>
      <c r="G42" s="5">
        <v>0.251</v>
      </c>
      <c r="H42" s="4">
        <v>91715</v>
      </c>
      <c r="I42" s="5">
        <v>0.308</v>
      </c>
      <c r="J42" s="4">
        <v>65613</v>
      </c>
      <c r="K42" s="5">
        <v>0.61499999999999999</v>
      </c>
      <c r="L42" s="4">
        <v>365579</v>
      </c>
      <c r="M42" s="2">
        <v>230.15</v>
      </c>
      <c r="N42" s="2">
        <v>2.48</v>
      </c>
      <c r="O42" s="2">
        <v>12.3</v>
      </c>
      <c r="P42" s="2">
        <v>16.600000000000001</v>
      </c>
      <c r="Q42" s="2">
        <v>29.18</v>
      </c>
    </row>
    <row r="43" spans="1:17" x14ac:dyDescent="0.25">
      <c r="A43" s="2">
        <v>42</v>
      </c>
      <c r="B43" s="2" t="s">
        <v>61</v>
      </c>
      <c r="C43" s="2" t="s">
        <v>17</v>
      </c>
      <c r="D43" s="3">
        <v>44308</v>
      </c>
      <c r="E43" s="2">
        <v>138.51</v>
      </c>
      <c r="F43" s="4">
        <v>49073</v>
      </c>
      <c r="G43" s="5">
        <v>0.30499999999999999</v>
      </c>
      <c r="H43" s="4">
        <v>49052</v>
      </c>
      <c r="I43" s="5">
        <v>0.36399999999999999</v>
      </c>
      <c r="J43" s="4">
        <v>36538</v>
      </c>
      <c r="K43" s="6">
        <v>0.72</v>
      </c>
      <c r="L43" s="4">
        <v>161000</v>
      </c>
      <c r="M43" s="2">
        <v>296.05</v>
      </c>
      <c r="N43" s="2">
        <v>2.41</v>
      </c>
      <c r="O43" s="2">
        <v>11.5</v>
      </c>
      <c r="P43" s="2">
        <v>10.5</v>
      </c>
      <c r="Q43" s="2">
        <v>31.53</v>
      </c>
    </row>
    <row r="44" spans="1:17" x14ac:dyDescent="0.25">
      <c r="A44" s="2">
        <v>43</v>
      </c>
      <c r="B44" s="2" t="s">
        <v>62</v>
      </c>
      <c r="C44" s="2" t="s">
        <v>17</v>
      </c>
      <c r="D44" s="3">
        <v>44308</v>
      </c>
      <c r="E44" s="2">
        <v>352.46</v>
      </c>
      <c r="F44" s="4">
        <v>710221</v>
      </c>
      <c r="G44" s="5">
        <v>0.26100000000000001</v>
      </c>
      <c r="H44" s="4">
        <v>708635</v>
      </c>
      <c r="I44" s="5">
        <v>0.32700000000000001</v>
      </c>
      <c r="J44" s="4">
        <v>300820</v>
      </c>
      <c r="K44" s="5">
        <v>0.66500000000000004</v>
      </c>
      <c r="L44" s="4">
        <v>2716940</v>
      </c>
      <c r="M44" s="7">
        <v>1430.09</v>
      </c>
      <c r="N44" s="2">
        <v>3.07</v>
      </c>
      <c r="O44" s="2">
        <v>18.100000000000001</v>
      </c>
      <c r="P44" s="2">
        <v>18</v>
      </c>
      <c r="Q44" s="2">
        <v>16.66</v>
      </c>
    </row>
    <row r="45" spans="1:17" x14ac:dyDescent="0.25">
      <c r="A45" s="2">
        <v>44</v>
      </c>
      <c r="B45" s="2" t="s">
        <v>63</v>
      </c>
      <c r="C45" s="2" t="s">
        <v>17</v>
      </c>
      <c r="D45" s="3">
        <v>44308</v>
      </c>
      <c r="E45" s="2">
        <v>127.98</v>
      </c>
      <c r="F45" s="4">
        <v>22707</v>
      </c>
      <c r="G45" s="5">
        <v>0.30599999999999999</v>
      </c>
      <c r="H45" s="4">
        <v>22697</v>
      </c>
      <c r="I45" s="6">
        <v>0.36</v>
      </c>
      <c r="J45" s="4">
        <v>13568</v>
      </c>
      <c r="K45" s="6">
        <v>0.77</v>
      </c>
      <c r="L45" s="4">
        <v>74228</v>
      </c>
      <c r="M45" s="2">
        <v>75.510000000000005</v>
      </c>
      <c r="N45" s="2">
        <v>2.39</v>
      </c>
      <c r="O45" s="2">
        <v>17.8</v>
      </c>
      <c r="P45" s="2">
        <v>11.8</v>
      </c>
      <c r="Q45" s="2">
        <v>23.75</v>
      </c>
    </row>
    <row r="46" spans="1:17" x14ac:dyDescent="0.25">
      <c r="A46" s="2">
        <v>45</v>
      </c>
      <c r="B46" s="2" t="s">
        <v>64</v>
      </c>
      <c r="C46" s="2" t="s">
        <v>17</v>
      </c>
      <c r="D46" s="3">
        <v>44308</v>
      </c>
      <c r="E46" s="2">
        <v>115.09</v>
      </c>
      <c r="F46" s="4">
        <v>25969</v>
      </c>
      <c r="G46" s="5">
        <v>0.29299999999999998</v>
      </c>
      <c r="H46" s="4">
        <v>25954</v>
      </c>
      <c r="I46" s="5">
        <v>0.36499999999999999</v>
      </c>
      <c r="J46" s="4">
        <v>15660</v>
      </c>
      <c r="K46" s="5">
        <v>0.77400000000000002</v>
      </c>
      <c r="L46" s="4">
        <v>88625</v>
      </c>
      <c r="M46" s="2">
        <v>136.62</v>
      </c>
      <c r="N46" s="2">
        <v>2.5499999999999998</v>
      </c>
      <c r="O46" s="2">
        <v>11</v>
      </c>
      <c r="P46" s="2">
        <v>10.199999999999999</v>
      </c>
      <c r="Q46" s="2">
        <v>22.83</v>
      </c>
    </row>
    <row r="47" spans="1:17" x14ac:dyDescent="0.25">
      <c r="A47" s="2">
        <v>46</v>
      </c>
      <c r="B47" s="2" t="s">
        <v>65</v>
      </c>
      <c r="C47" s="2" t="s">
        <v>19</v>
      </c>
      <c r="D47" s="3">
        <v>44308</v>
      </c>
      <c r="E47" s="2">
        <v>92.06</v>
      </c>
      <c r="F47" s="4">
        <v>46439</v>
      </c>
      <c r="G47" s="6">
        <v>0.22</v>
      </c>
      <c r="H47" s="4">
        <v>46409</v>
      </c>
      <c r="I47" s="5">
        <v>0.28299999999999997</v>
      </c>
      <c r="J47" s="4">
        <v>24521</v>
      </c>
      <c r="K47" s="5">
        <v>0.71299999999999997</v>
      </c>
      <c r="L47" s="4">
        <v>210738</v>
      </c>
      <c r="M47" s="2">
        <v>226.55</v>
      </c>
      <c r="N47" s="2">
        <v>2.52</v>
      </c>
      <c r="O47" s="2">
        <v>12.2</v>
      </c>
      <c r="P47" s="2">
        <v>11.5</v>
      </c>
      <c r="Q47" s="2">
        <v>16.309999999999999</v>
      </c>
    </row>
    <row r="48" spans="1:17" x14ac:dyDescent="0.25">
      <c r="A48" s="2">
        <v>47</v>
      </c>
      <c r="B48" s="2" t="s">
        <v>66</v>
      </c>
      <c r="C48" s="2" t="s">
        <v>17</v>
      </c>
      <c r="D48" s="3">
        <v>44308</v>
      </c>
      <c r="E48" s="2">
        <v>132.80000000000001</v>
      </c>
      <c r="F48" s="4">
        <v>7281</v>
      </c>
      <c r="G48" s="5">
        <v>0.17299999999999999</v>
      </c>
      <c r="H48" s="4">
        <v>7279</v>
      </c>
      <c r="I48" s="5">
        <v>0.219</v>
      </c>
      <c r="J48" s="4">
        <v>5432</v>
      </c>
      <c r="K48" s="6">
        <v>0.64</v>
      </c>
      <c r="L48" s="4">
        <v>42168</v>
      </c>
      <c r="M48" s="2">
        <v>54.82</v>
      </c>
      <c r="N48" s="2">
        <v>2.73</v>
      </c>
      <c r="O48" s="2">
        <v>18.100000000000001</v>
      </c>
      <c r="P48" s="2">
        <v>22.7</v>
      </c>
      <c r="Q48" s="2">
        <v>20.12</v>
      </c>
    </row>
    <row r="49" spans="1:17" x14ac:dyDescent="0.25">
      <c r="A49" s="2">
        <v>48</v>
      </c>
      <c r="B49" s="2" t="s">
        <v>67</v>
      </c>
      <c r="C49" s="2" t="s">
        <v>17</v>
      </c>
      <c r="D49" s="3">
        <v>44308</v>
      </c>
      <c r="E49" s="2">
        <v>214.5</v>
      </c>
      <c r="F49" s="4">
        <v>313063</v>
      </c>
      <c r="G49" s="5">
        <v>0.22500000000000001</v>
      </c>
      <c r="H49" s="4">
        <v>312342</v>
      </c>
      <c r="I49" s="5">
        <v>0.28699999999999998</v>
      </c>
      <c r="J49" s="4">
        <v>117837</v>
      </c>
      <c r="K49" s="5">
        <v>0.68700000000000006</v>
      </c>
      <c r="L49" s="4">
        <v>1393452</v>
      </c>
      <c r="M49" s="7">
        <v>1545.08</v>
      </c>
      <c r="N49" s="2">
        <v>2.81</v>
      </c>
      <c r="O49" s="2">
        <v>14.5</v>
      </c>
      <c r="P49" s="2">
        <v>16.100000000000001</v>
      </c>
      <c r="Q49" s="2">
        <v>12.31</v>
      </c>
    </row>
    <row r="50" spans="1:17" x14ac:dyDescent="0.25">
      <c r="A50" s="2">
        <v>49</v>
      </c>
      <c r="B50" s="2" t="s">
        <v>68</v>
      </c>
      <c r="C50" s="2" t="s">
        <v>17</v>
      </c>
      <c r="D50" s="3">
        <v>44308</v>
      </c>
      <c r="E50" s="2">
        <v>304.99</v>
      </c>
      <c r="F50" s="4">
        <v>75702</v>
      </c>
      <c r="G50" s="5">
        <v>0.20100000000000001</v>
      </c>
      <c r="H50" s="4">
        <v>75619</v>
      </c>
      <c r="I50" s="5">
        <v>0.26500000000000001</v>
      </c>
      <c r="J50" s="4">
        <v>35147</v>
      </c>
      <c r="K50" s="5">
        <v>0.69199999999999995</v>
      </c>
      <c r="L50" s="4">
        <v>375751</v>
      </c>
      <c r="M50" s="2">
        <v>283.04000000000002</v>
      </c>
      <c r="N50" s="2">
        <v>3.4</v>
      </c>
      <c r="O50" s="2">
        <v>15.8</v>
      </c>
      <c r="P50" s="2">
        <v>16.3</v>
      </c>
      <c r="Q50" s="2">
        <v>13.52</v>
      </c>
    </row>
    <row r="51" spans="1:17" x14ac:dyDescent="0.25">
      <c r="A51" s="2">
        <v>50</v>
      </c>
      <c r="B51" s="2" t="s">
        <v>69</v>
      </c>
      <c r="C51" s="2" t="s">
        <v>17</v>
      </c>
      <c r="D51" s="3">
        <v>44308</v>
      </c>
      <c r="E51" s="2">
        <v>187.34</v>
      </c>
      <c r="F51" s="4">
        <v>398364</v>
      </c>
      <c r="G51" s="5">
        <v>0.26600000000000001</v>
      </c>
      <c r="H51" s="4">
        <v>397920</v>
      </c>
      <c r="I51" s="5">
        <v>0.32800000000000001</v>
      </c>
      <c r="J51" s="4">
        <v>247324</v>
      </c>
      <c r="K51" s="5">
        <v>0.67800000000000005</v>
      </c>
      <c r="L51" s="4">
        <v>1496770</v>
      </c>
      <c r="M51" s="2">
        <v>761.99</v>
      </c>
      <c r="N51" s="2">
        <v>2.6</v>
      </c>
      <c r="O51" s="2">
        <v>13.6</v>
      </c>
      <c r="P51" s="2">
        <v>12.8</v>
      </c>
      <c r="Q51" s="2">
        <v>24.36</v>
      </c>
    </row>
    <row r="52" spans="1:17" x14ac:dyDescent="0.25">
      <c r="A52" s="2">
        <v>51</v>
      </c>
      <c r="B52" s="2" t="s">
        <v>70</v>
      </c>
      <c r="C52" s="2" t="s">
        <v>17</v>
      </c>
      <c r="D52" s="3">
        <v>44308</v>
      </c>
      <c r="E52" s="2">
        <v>201.46</v>
      </c>
      <c r="F52" s="4">
        <v>126678</v>
      </c>
      <c r="G52" s="5">
        <v>0.22900000000000001</v>
      </c>
      <c r="H52" s="4">
        <v>126588</v>
      </c>
      <c r="I52" s="5">
        <v>0.28699999999999998</v>
      </c>
      <c r="J52" s="4">
        <v>76281</v>
      </c>
      <c r="K52" s="5">
        <v>0.60799999999999998</v>
      </c>
      <c r="L52" s="4">
        <v>553947</v>
      </c>
      <c r="M52" s="2">
        <v>741.98</v>
      </c>
      <c r="N52" s="2">
        <v>2.52</v>
      </c>
      <c r="O52" s="2">
        <v>11.8</v>
      </c>
      <c r="P52" s="2">
        <v>13.5</v>
      </c>
      <c r="Q52" s="2">
        <v>22.65</v>
      </c>
    </row>
    <row r="53" spans="1:17" x14ac:dyDescent="0.25">
      <c r="A53" s="2">
        <v>52</v>
      </c>
      <c r="B53" s="2" t="s">
        <v>71</v>
      </c>
      <c r="C53" s="2" t="s">
        <v>17</v>
      </c>
      <c r="D53" s="3">
        <v>44308</v>
      </c>
      <c r="E53" s="2">
        <v>158.05000000000001</v>
      </c>
      <c r="F53" s="4">
        <v>285066</v>
      </c>
      <c r="G53" s="5">
        <v>0.29199999999999998</v>
      </c>
      <c r="H53" s="4">
        <v>284868</v>
      </c>
      <c r="I53" s="5">
        <v>0.34699999999999998</v>
      </c>
      <c r="J53" s="4">
        <v>162023</v>
      </c>
      <c r="K53" s="5">
        <v>0.65400000000000003</v>
      </c>
      <c r="L53" s="4">
        <v>974996</v>
      </c>
      <c r="M53" s="7">
        <v>3561.28</v>
      </c>
      <c r="N53" s="2">
        <v>2.31</v>
      </c>
      <c r="O53" s="2">
        <v>11.5</v>
      </c>
      <c r="P53" s="2">
        <v>13</v>
      </c>
      <c r="Q53" s="2">
        <v>25.4</v>
      </c>
    </row>
    <row r="54" spans="1:17" x14ac:dyDescent="0.25">
      <c r="A54" s="2">
        <v>53</v>
      </c>
      <c r="B54" s="2" t="s">
        <v>72</v>
      </c>
      <c r="C54" s="2" t="s">
        <v>17</v>
      </c>
      <c r="D54" s="3">
        <v>44308</v>
      </c>
      <c r="E54" s="2">
        <v>232.35</v>
      </c>
      <c r="F54" s="4">
        <v>142776</v>
      </c>
      <c r="G54" s="5">
        <v>0.19700000000000001</v>
      </c>
      <c r="H54" s="4">
        <v>142680</v>
      </c>
      <c r="I54" s="5">
        <v>0.252</v>
      </c>
      <c r="J54" s="4">
        <v>87154</v>
      </c>
      <c r="K54" s="5">
        <v>0.58799999999999997</v>
      </c>
      <c r="L54" s="4">
        <v>724777</v>
      </c>
      <c r="M54" s="2">
        <v>403.21</v>
      </c>
      <c r="N54" s="2">
        <v>2.84</v>
      </c>
      <c r="O54" s="2">
        <v>13.2</v>
      </c>
      <c r="P54" s="2">
        <v>16.600000000000001</v>
      </c>
      <c r="Q54" s="2">
        <v>20.440000000000001</v>
      </c>
    </row>
    <row r="55" spans="1:17" x14ac:dyDescent="0.25">
      <c r="A55" s="2">
        <v>54</v>
      </c>
      <c r="B55" s="2" t="s">
        <v>73</v>
      </c>
      <c r="C55" s="2" t="s">
        <v>17</v>
      </c>
      <c r="D55" s="3">
        <v>44308</v>
      </c>
      <c r="E55" s="2">
        <v>179.82</v>
      </c>
      <c r="F55" s="4">
        <v>12086</v>
      </c>
      <c r="G55" s="5">
        <v>0.16200000000000001</v>
      </c>
      <c r="H55" s="4">
        <v>12083</v>
      </c>
      <c r="I55" s="5">
        <v>0.20599999999999999</v>
      </c>
      <c r="J55" s="4">
        <v>8101</v>
      </c>
      <c r="K55" s="5">
        <v>0.45800000000000002</v>
      </c>
      <c r="L55" s="4">
        <v>74521</v>
      </c>
      <c r="M55" s="2">
        <v>102.38</v>
      </c>
      <c r="N55" s="2">
        <v>2.52</v>
      </c>
      <c r="O55" s="2">
        <v>16</v>
      </c>
      <c r="P55" s="2">
        <v>24.8</v>
      </c>
      <c r="Q55" s="2">
        <v>23.72</v>
      </c>
    </row>
    <row r="56" spans="1:17" x14ac:dyDescent="0.25">
      <c r="A56" s="2">
        <v>55</v>
      </c>
      <c r="B56" s="2" t="s">
        <v>74</v>
      </c>
      <c r="C56" s="2" t="s">
        <v>25</v>
      </c>
      <c r="D56" s="3">
        <v>44308</v>
      </c>
      <c r="E56" s="2">
        <v>41.23</v>
      </c>
      <c r="F56" s="4">
        <v>36372</v>
      </c>
      <c r="G56" s="5">
        <v>0.19700000000000001</v>
      </c>
      <c r="H56" s="4">
        <v>36335</v>
      </c>
      <c r="I56" s="5">
        <v>0.252</v>
      </c>
      <c r="J56" s="4">
        <v>20114</v>
      </c>
      <c r="K56" s="5">
        <v>0.66800000000000004</v>
      </c>
      <c r="L56" s="4">
        <v>184313</v>
      </c>
      <c r="M56" s="2">
        <v>182.06</v>
      </c>
      <c r="N56" s="2">
        <v>2.68</v>
      </c>
      <c r="O56" s="2">
        <v>10</v>
      </c>
      <c r="P56" s="2">
        <v>9.8000000000000007</v>
      </c>
      <c r="Q56" s="2">
        <v>16.34</v>
      </c>
    </row>
    <row r="57" spans="1:17" x14ac:dyDescent="0.25">
      <c r="A57" s="2">
        <v>56</v>
      </c>
      <c r="B57" s="2" t="s">
        <v>75</v>
      </c>
      <c r="C57" s="2" t="s">
        <v>17</v>
      </c>
      <c r="D57" s="3">
        <v>44308</v>
      </c>
      <c r="E57" s="2">
        <v>195.28</v>
      </c>
      <c r="F57" s="4">
        <v>150100</v>
      </c>
      <c r="G57" s="5">
        <v>0.34599999999999997</v>
      </c>
      <c r="H57" s="4">
        <v>150022</v>
      </c>
      <c r="I57" s="5">
        <v>0.40200000000000002</v>
      </c>
      <c r="J57" s="4">
        <v>114303</v>
      </c>
      <c r="K57" s="5">
        <v>0.70599999999999996</v>
      </c>
      <c r="L57" s="4">
        <v>433742</v>
      </c>
      <c r="M57" s="2">
        <v>780.13</v>
      </c>
      <c r="N57" s="2">
        <v>2.25</v>
      </c>
      <c r="O57" s="2">
        <v>11.4</v>
      </c>
      <c r="P57" s="2">
        <v>9.6999999999999993</v>
      </c>
      <c r="Q57" s="2">
        <v>37.340000000000003</v>
      </c>
    </row>
    <row r="58" spans="1:17" x14ac:dyDescent="0.25">
      <c r="A58" s="2">
        <v>57</v>
      </c>
      <c r="B58" s="2" t="s">
        <v>76</v>
      </c>
      <c r="C58" s="2" t="s">
        <v>17</v>
      </c>
      <c r="D58" s="3">
        <v>44308</v>
      </c>
      <c r="E58" s="2">
        <v>220.84</v>
      </c>
      <c r="F58" s="4">
        <v>103231</v>
      </c>
      <c r="G58" s="5">
        <v>0.219</v>
      </c>
      <c r="H58" s="4">
        <v>103048</v>
      </c>
      <c r="I58" s="5">
        <v>0.27600000000000002</v>
      </c>
      <c r="J58" s="4">
        <v>48349</v>
      </c>
      <c r="K58" s="5">
        <v>0.64100000000000001</v>
      </c>
      <c r="L58" s="4">
        <v>471826</v>
      </c>
      <c r="M58" s="7">
        <v>1525.34</v>
      </c>
      <c r="N58" s="2">
        <v>2.7</v>
      </c>
      <c r="O58" s="2">
        <v>10.4</v>
      </c>
      <c r="P58" s="2">
        <v>11.4</v>
      </c>
      <c r="Q58" s="2">
        <v>15.98</v>
      </c>
    </row>
    <row r="59" spans="1:17" x14ac:dyDescent="0.25">
      <c r="A59" s="2">
        <v>58</v>
      </c>
      <c r="B59" s="2" t="s">
        <v>77</v>
      </c>
      <c r="C59" s="2" t="s">
        <v>17</v>
      </c>
      <c r="D59" s="3">
        <v>44308</v>
      </c>
      <c r="E59" s="2">
        <v>111.84</v>
      </c>
      <c r="F59" s="4">
        <v>87496</v>
      </c>
      <c r="G59" s="5">
        <v>0.33100000000000002</v>
      </c>
      <c r="H59" s="4">
        <v>87332</v>
      </c>
      <c r="I59" s="5">
        <v>0.42099999999999999</v>
      </c>
      <c r="J59" s="4">
        <v>45771</v>
      </c>
      <c r="K59" s="5">
        <v>0.83699999999999997</v>
      </c>
      <c r="L59" s="4">
        <v>264672</v>
      </c>
      <c r="M59" s="2">
        <v>440.71</v>
      </c>
      <c r="N59" s="2">
        <v>2.7</v>
      </c>
      <c r="O59" s="2">
        <v>8.4</v>
      </c>
      <c r="P59" s="2">
        <v>8.4</v>
      </c>
      <c r="Q59" s="2">
        <v>20.65</v>
      </c>
    </row>
    <row r="60" spans="1:17" x14ac:dyDescent="0.25">
      <c r="A60" s="2">
        <v>59</v>
      </c>
      <c r="B60" s="2" t="s">
        <v>78</v>
      </c>
      <c r="C60" s="2" t="s">
        <v>17</v>
      </c>
      <c r="D60" s="3">
        <v>44308</v>
      </c>
      <c r="E60" s="2">
        <v>136.16</v>
      </c>
      <c r="F60" s="4">
        <v>72582</v>
      </c>
      <c r="G60" s="5">
        <v>0.221</v>
      </c>
      <c r="H60" s="4">
        <v>72561</v>
      </c>
      <c r="I60" s="5">
        <v>0.27500000000000002</v>
      </c>
      <c r="J60" s="4">
        <v>48797</v>
      </c>
      <c r="K60" s="5">
        <v>0.60299999999999998</v>
      </c>
      <c r="L60" s="4">
        <v>328297</v>
      </c>
      <c r="M60" s="2">
        <v>574.29999999999995</v>
      </c>
      <c r="N60" s="2">
        <v>2.68</v>
      </c>
      <c r="O60" s="2">
        <v>14</v>
      </c>
      <c r="P60" s="2">
        <v>15</v>
      </c>
      <c r="Q60" s="2">
        <v>24.65</v>
      </c>
    </row>
    <row r="61" spans="1:17" x14ac:dyDescent="0.25">
      <c r="A61" s="2">
        <v>60</v>
      </c>
      <c r="B61" s="2" t="s">
        <v>79</v>
      </c>
      <c r="C61" s="2" t="s">
        <v>19</v>
      </c>
      <c r="D61" s="3">
        <v>44308</v>
      </c>
      <c r="E61" s="2">
        <v>72.5</v>
      </c>
      <c r="F61" s="4">
        <v>71760</v>
      </c>
      <c r="G61" s="5">
        <v>0.54200000000000004</v>
      </c>
      <c r="H61" s="4">
        <v>71750</v>
      </c>
      <c r="I61" s="5">
        <v>0.58299999999999996</v>
      </c>
      <c r="J61" s="4">
        <v>62044</v>
      </c>
      <c r="K61" s="5">
        <v>0.80500000000000005</v>
      </c>
      <c r="L61" s="4">
        <v>132420</v>
      </c>
      <c r="M61" s="2">
        <v>237.68</v>
      </c>
      <c r="N61" s="2">
        <v>2.04</v>
      </c>
      <c r="O61" s="2">
        <v>6.2</v>
      </c>
      <c r="P61" s="2">
        <v>8.8000000000000007</v>
      </c>
      <c r="Q61" s="2">
        <v>58.17</v>
      </c>
    </row>
    <row r="62" spans="1:17" x14ac:dyDescent="0.25">
      <c r="A62" s="2">
        <v>61</v>
      </c>
      <c r="B62" s="2" t="s">
        <v>80</v>
      </c>
      <c r="C62" s="2" t="s">
        <v>19</v>
      </c>
      <c r="D62" s="3">
        <v>44308</v>
      </c>
      <c r="E62" s="2">
        <v>65.290000000000006</v>
      </c>
      <c r="F62" s="4">
        <v>7523</v>
      </c>
      <c r="G62" s="5">
        <v>0.16900000000000001</v>
      </c>
      <c r="H62" s="4">
        <v>7521</v>
      </c>
      <c r="I62" s="5">
        <v>0.214</v>
      </c>
      <c r="J62" s="4">
        <v>5223</v>
      </c>
      <c r="K62" s="5">
        <v>0.54100000000000004</v>
      </c>
      <c r="L62" s="4">
        <v>44417</v>
      </c>
      <c r="M62" s="2">
        <v>64.510000000000005</v>
      </c>
      <c r="N62" s="2">
        <v>2.81</v>
      </c>
      <c r="O62" s="2">
        <v>13.9</v>
      </c>
      <c r="P62" s="2">
        <v>17.8</v>
      </c>
      <c r="Q62" s="2">
        <v>21.73</v>
      </c>
    </row>
    <row r="63" spans="1:17" x14ac:dyDescent="0.25">
      <c r="A63" s="2">
        <v>62</v>
      </c>
      <c r="B63" s="2" t="s">
        <v>81</v>
      </c>
      <c r="C63" s="2" t="s">
        <v>25</v>
      </c>
      <c r="D63" s="3">
        <v>44308</v>
      </c>
      <c r="E63" s="2" t="s">
        <v>26</v>
      </c>
      <c r="F63" s="4">
        <v>3405</v>
      </c>
      <c r="G63" s="5">
        <v>0.158</v>
      </c>
      <c r="H63" s="4">
        <v>3403</v>
      </c>
      <c r="I63" s="5">
        <v>0.19700000000000001</v>
      </c>
      <c r="J63" s="4">
        <v>2304</v>
      </c>
      <c r="K63" s="5">
        <v>0.50900000000000001</v>
      </c>
      <c r="L63" s="4">
        <v>21569</v>
      </c>
      <c r="M63" s="2">
        <v>20.67</v>
      </c>
      <c r="N63" s="2">
        <v>2.4700000000000002</v>
      </c>
      <c r="O63" s="2">
        <v>10.9</v>
      </c>
      <c r="P63" s="2">
        <v>19.8</v>
      </c>
      <c r="Q63" s="2">
        <v>20.98</v>
      </c>
    </row>
    <row r="64" spans="1:17" x14ac:dyDescent="0.25">
      <c r="A64" s="2">
        <v>63</v>
      </c>
      <c r="B64" s="2" t="s">
        <v>82</v>
      </c>
      <c r="C64" s="2" t="s">
        <v>19</v>
      </c>
      <c r="D64" s="3">
        <v>44308</v>
      </c>
      <c r="E64" s="2">
        <v>85.32</v>
      </c>
      <c r="F64" s="4">
        <v>1708</v>
      </c>
      <c r="G64" s="5">
        <v>0.112</v>
      </c>
      <c r="H64" s="4">
        <v>1708</v>
      </c>
      <c r="I64" s="6">
        <v>0.14000000000000001</v>
      </c>
      <c r="J64" s="4">
        <v>1112</v>
      </c>
      <c r="K64" s="6">
        <v>0.48</v>
      </c>
      <c r="L64" s="4">
        <v>15237</v>
      </c>
      <c r="M64" s="2">
        <v>62.56</v>
      </c>
      <c r="N64" s="2">
        <v>2.5</v>
      </c>
      <c r="O64" s="2">
        <v>12.4</v>
      </c>
      <c r="P64" s="2">
        <v>22</v>
      </c>
      <c r="Q64" s="2">
        <v>15.21</v>
      </c>
    </row>
    <row r="65" spans="1:17" x14ac:dyDescent="0.25">
      <c r="A65" s="2">
        <v>64</v>
      </c>
      <c r="B65" s="2" t="s">
        <v>83</v>
      </c>
      <c r="C65" s="2" t="s">
        <v>17</v>
      </c>
      <c r="D65" s="3">
        <v>44308</v>
      </c>
      <c r="E65" s="2">
        <v>215.26</v>
      </c>
      <c r="F65" s="4">
        <v>135623</v>
      </c>
      <c r="G65" s="5">
        <v>0.245</v>
      </c>
      <c r="H65" s="4">
        <v>135570</v>
      </c>
      <c r="I65" s="5">
        <v>0.29699999999999999</v>
      </c>
      <c r="J65" s="4">
        <v>90345</v>
      </c>
      <c r="K65" s="5">
        <v>0.65600000000000003</v>
      </c>
      <c r="L65" s="4">
        <v>553284</v>
      </c>
      <c r="M65" s="2">
        <v>502.42</v>
      </c>
      <c r="N65" s="2">
        <v>2.4300000000000002</v>
      </c>
      <c r="O65" s="2">
        <v>12.5</v>
      </c>
      <c r="P65" s="2">
        <v>15.2</v>
      </c>
      <c r="Q65" s="2">
        <v>24.91</v>
      </c>
    </row>
    <row r="66" spans="1:17" x14ac:dyDescent="0.25">
      <c r="A66" s="2">
        <v>65</v>
      </c>
      <c r="B66" s="2" t="s">
        <v>84</v>
      </c>
      <c r="C66" s="2" t="s">
        <v>17</v>
      </c>
      <c r="D66" s="3">
        <v>44308</v>
      </c>
      <c r="E66" s="2">
        <v>160.05000000000001</v>
      </c>
      <c r="F66" s="4">
        <v>6668</v>
      </c>
      <c r="G66" s="5">
        <v>0.19800000000000001</v>
      </c>
      <c r="H66" s="4">
        <v>6663</v>
      </c>
      <c r="I66" s="5">
        <v>0.249</v>
      </c>
      <c r="J66" s="4">
        <v>3891</v>
      </c>
      <c r="K66" s="5">
        <v>0.72499999999999998</v>
      </c>
      <c r="L66" s="4">
        <v>33739</v>
      </c>
      <c r="M66" s="2">
        <v>55.64</v>
      </c>
      <c r="N66" s="2">
        <v>2.56</v>
      </c>
      <c r="O66" s="2">
        <v>9</v>
      </c>
      <c r="P66" s="2">
        <v>11.5</v>
      </c>
      <c r="Q66" s="2">
        <v>15.9</v>
      </c>
    </row>
    <row r="67" spans="1:17" x14ac:dyDescent="0.25">
      <c r="A67" s="2">
        <v>66</v>
      </c>
      <c r="B67" s="2" t="s">
        <v>85</v>
      </c>
      <c r="C67" s="2" t="s">
        <v>17</v>
      </c>
      <c r="D67" s="3">
        <v>44308</v>
      </c>
      <c r="E67" s="2">
        <v>122.86</v>
      </c>
      <c r="F67" s="4">
        <v>14578</v>
      </c>
      <c r="G67" s="5">
        <v>0.19700000000000001</v>
      </c>
      <c r="H67" s="4">
        <v>14574</v>
      </c>
      <c r="I67" s="5">
        <v>0.247</v>
      </c>
      <c r="J67" s="4">
        <v>8999</v>
      </c>
      <c r="K67" s="5">
        <v>0.60099999999999998</v>
      </c>
      <c r="L67" s="4">
        <v>74071</v>
      </c>
      <c r="M67" s="2">
        <v>71.38</v>
      </c>
      <c r="N67" s="2">
        <v>2.42</v>
      </c>
      <c r="O67" s="2">
        <v>13.5</v>
      </c>
      <c r="P67" s="2">
        <v>14.7</v>
      </c>
      <c r="Q67" s="2">
        <v>20.22</v>
      </c>
    </row>
    <row r="68" spans="1:17" x14ac:dyDescent="0.25">
      <c r="A68" s="1">
        <v>67</v>
      </c>
      <c r="B68" s="2" t="s">
        <v>86</v>
      </c>
      <c r="C68" s="2" t="s">
        <v>25</v>
      </c>
      <c r="D68" s="3">
        <v>44308</v>
      </c>
      <c r="E68" s="2" t="s">
        <v>26</v>
      </c>
      <c r="F68" s="4">
        <v>3169</v>
      </c>
      <c r="G68" s="5">
        <v>0.124</v>
      </c>
      <c r="H68" s="4">
        <v>3166</v>
      </c>
      <c r="I68" s="5">
        <v>0.155</v>
      </c>
      <c r="J68" s="4">
        <v>2011</v>
      </c>
      <c r="K68" s="5">
        <v>0.45900000000000002</v>
      </c>
      <c r="L68" s="4">
        <v>25473</v>
      </c>
      <c r="M68" s="2">
        <v>43.57</v>
      </c>
      <c r="N68" s="2">
        <v>2.57</v>
      </c>
      <c r="O68" s="2">
        <v>12.8</v>
      </c>
      <c r="P68" s="2">
        <v>22.4</v>
      </c>
      <c r="Q68" s="2">
        <v>17.2</v>
      </c>
    </row>
    <row r="69" spans="1:17" ht="36" x14ac:dyDescent="0.25">
      <c r="B69" s="8" t="s">
        <v>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70D8B-1484-417C-8314-B4D5846154D3}">
  <dimension ref="A1:Q69"/>
  <sheetViews>
    <sheetView workbookViewId="0">
      <selection sqref="A1:Q68"/>
    </sheetView>
  </sheetViews>
  <sheetFormatPr defaultRowHeight="15.75" x14ac:dyDescent="0.25"/>
  <cols>
    <col min="1" max="1" width="2.375" bestFit="1" customWidth="1"/>
    <col min="2" max="2" width="9.5" bestFit="1" customWidth="1"/>
    <col min="3" max="3" width="15.875" bestFit="1" customWidth="1"/>
    <col min="4" max="4" width="10.125" bestFit="1" customWidth="1"/>
    <col min="5" max="5" width="10.25" bestFit="1" customWidth="1"/>
    <col min="6" max="6" width="8.125" bestFit="1" customWidth="1"/>
    <col min="7" max="7" width="13.875" bestFit="1" customWidth="1"/>
    <col min="8" max="8" width="9.875" bestFit="1" customWidth="1"/>
    <col min="9" max="9" width="15.625" bestFit="1" customWidth="1"/>
    <col min="10" max="10" width="9.875" bestFit="1" customWidth="1"/>
    <col min="11" max="11" width="15.625" bestFit="1" customWidth="1"/>
    <col min="12" max="12" width="12" bestFit="1" customWidth="1"/>
    <col min="13" max="13" width="13.75" bestFit="1" customWidth="1"/>
    <col min="14" max="14" width="9.5" bestFit="1" customWidth="1"/>
    <col min="15" max="15" width="13.375" bestFit="1" customWidth="1"/>
    <col min="16" max="16" width="9.125" bestFit="1" customWidth="1"/>
    <col min="17" max="17" width="6.125" bestFit="1" customWidth="1"/>
  </cols>
  <sheetData>
    <row r="1" spans="1:17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</row>
    <row r="2" spans="1:17" x14ac:dyDescent="0.25">
      <c r="A2" s="2">
        <v>1</v>
      </c>
      <c r="B2" s="2" t="s">
        <v>16</v>
      </c>
      <c r="C2" s="2" t="s">
        <v>17</v>
      </c>
      <c r="D2" s="3">
        <v>44309</v>
      </c>
      <c r="E2" s="2">
        <v>112.99</v>
      </c>
      <c r="F2" s="4">
        <v>78328</v>
      </c>
      <c r="G2" s="5">
        <v>0.29099999999999998</v>
      </c>
      <c r="H2" s="4">
        <v>78236</v>
      </c>
      <c r="I2" s="6">
        <v>0.35399999999999998</v>
      </c>
      <c r="J2" s="4">
        <v>31581</v>
      </c>
      <c r="K2" s="5">
        <v>0.80400000000000005</v>
      </c>
      <c r="L2" s="4">
        <v>269043</v>
      </c>
      <c r="M2" s="2">
        <v>307.29000000000002</v>
      </c>
      <c r="N2" s="2">
        <v>2.54</v>
      </c>
      <c r="O2" s="2">
        <v>9.1999999999999993</v>
      </c>
      <c r="P2" s="2">
        <v>21.8</v>
      </c>
      <c r="Q2" s="2">
        <v>14.6</v>
      </c>
    </row>
    <row r="3" spans="1:17" x14ac:dyDescent="0.25">
      <c r="A3" s="2">
        <v>2</v>
      </c>
      <c r="B3" s="2" t="s">
        <v>18</v>
      </c>
      <c r="C3" s="2" t="s">
        <v>17</v>
      </c>
      <c r="D3" s="3">
        <v>44309</v>
      </c>
      <c r="E3" s="2">
        <v>123.25</v>
      </c>
      <c r="F3" s="4">
        <v>3658</v>
      </c>
      <c r="G3" s="5">
        <v>0.125</v>
      </c>
      <c r="H3" s="4">
        <v>3658</v>
      </c>
      <c r="I3" s="5">
        <v>0.16400000000000001</v>
      </c>
      <c r="J3" s="4">
        <v>2211</v>
      </c>
      <c r="K3" s="5">
        <v>0.53700000000000003</v>
      </c>
      <c r="L3" s="4">
        <v>29210</v>
      </c>
      <c r="M3" s="2">
        <v>49.91</v>
      </c>
      <c r="N3" s="2">
        <v>2.92</v>
      </c>
      <c r="O3" s="2">
        <v>12.5</v>
      </c>
      <c r="P3" s="2">
        <v>14.6</v>
      </c>
      <c r="Q3" s="2">
        <v>14.09</v>
      </c>
    </row>
    <row r="4" spans="1:17" x14ac:dyDescent="0.25">
      <c r="A4" s="2">
        <v>3</v>
      </c>
      <c r="B4" s="2" t="s">
        <v>20</v>
      </c>
      <c r="C4" s="2" t="s">
        <v>19</v>
      </c>
      <c r="D4" s="3">
        <v>44309</v>
      </c>
      <c r="E4" s="2">
        <v>76.13</v>
      </c>
      <c r="F4" s="4">
        <v>37387</v>
      </c>
      <c r="G4" s="5">
        <v>0.214</v>
      </c>
      <c r="H4" s="4">
        <v>37364</v>
      </c>
      <c r="I4" s="5">
        <v>0.26900000000000002</v>
      </c>
      <c r="J4" s="4">
        <v>19268</v>
      </c>
      <c r="K4" s="6">
        <v>0.59199999999999997</v>
      </c>
      <c r="L4" s="4">
        <v>174705</v>
      </c>
      <c r="M4" s="2">
        <v>230.3</v>
      </c>
      <c r="N4" s="2">
        <v>2.57</v>
      </c>
      <c r="O4" s="2">
        <v>14.2</v>
      </c>
      <c r="P4" s="2">
        <v>14.7</v>
      </c>
      <c r="Q4" s="2">
        <v>18.62</v>
      </c>
    </row>
    <row r="5" spans="1:17" x14ac:dyDescent="0.25">
      <c r="A5" s="2">
        <v>4</v>
      </c>
      <c r="B5" s="2" t="s">
        <v>21</v>
      </c>
      <c r="C5" s="2" t="s">
        <v>19</v>
      </c>
      <c r="D5" s="3">
        <v>44309</v>
      </c>
      <c r="E5" s="2">
        <v>56.74</v>
      </c>
      <c r="F5" s="4">
        <v>3993</v>
      </c>
      <c r="G5" s="5">
        <v>0.14199999999999999</v>
      </c>
      <c r="H5" s="4">
        <v>3993</v>
      </c>
      <c r="I5" s="5">
        <v>0.17599999999999999</v>
      </c>
      <c r="J5" s="4">
        <v>2552</v>
      </c>
      <c r="K5" s="5">
        <v>0.504</v>
      </c>
      <c r="L5" s="4">
        <v>28201</v>
      </c>
      <c r="M5" s="2">
        <v>95.93</v>
      </c>
      <c r="N5" s="2">
        <v>2.6</v>
      </c>
      <c r="O5" s="2">
        <v>12.4</v>
      </c>
      <c r="P5" s="2">
        <v>20.3</v>
      </c>
      <c r="Q5" s="2">
        <v>17.96</v>
      </c>
    </row>
    <row r="6" spans="1:17" x14ac:dyDescent="0.25">
      <c r="A6" s="2">
        <v>5</v>
      </c>
      <c r="B6" s="2" t="s">
        <v>22</v>
      </c>
      <c r="C6" s="2" t="s">
        <v>17</v>
      </c>
      <c r="D6" s="3">
        <v>44309</v>
      </c>
      <c r="E6" s="2">
        <v>145.03</v>
      </c>
      <c r="F6" s="4">
        <v>156287</v>
      </c>
      <c r="G6" s="5">
        <v>0.26</v>
      </c>
      <c r="H6" s="4">
        <v>156204</v>
      </c>
      <c r="I6" s="5">
        <v>0.317</v>
      </c>
      <c r="J6" s="4">
        <v>93948</v>
      </c>
      <c r="K6" s="5">
        <v>0.64500000000000002</v>
      </c>
      <c r="L6" s="4">
        <v>601942</v>
      </c>
      <c r="M6" s="2">
        <v>593.05999999999995</v>
      </c>
      <c r="N6" s="2">
        <v>2.4900000000000002</v>
      </c>
      <c r="O6" s="2">
        <v>10.8</v>
      </c>
      <c r="P6" s="2">
        <v>12.7</v>
      </c>
      <c r="Q6" s="2">
        <v>24.21</v>
      </c>
    </row>
    <row r="7" spans="1:17" x14ac:dyDescent="0.25">
      <c r="A7" s="2">
        <v>6</v>
      </c>
      <c r="B7" s="2" t="s">
        <v>23</v>
      </c>
      <c r="C7" s="2" t="s">
        <v>17</v>
      </c>
      <c r="D7" s="3">
        <v>44309</v>
      </c>
      <c r="E7" s="2">
        <v>254</v>
      </c>
      <c r="F7" s="4">
        <v>491746</v>
      </c>
      <c r="G7" s="5">
        <v>0.252</v>
      </c>
      <c r="H7" s="4">
        <v>490718</v>
      </c>
      <c r="I7" s="5">
        <v>0.318</v>
      </c>
      <c r="J7" s="4">
        <v>221354</v>
      </c>
      <c r="K7" s="5">
        <v>0.66200000000000003</v>
      </c>
      <c r="L7" s="4">
        <v>1952778</v>
      </c>
      <c r="M7" s="7">
        <v>1623.5</v>
      </c>
      <c r="N7" s="2">
        <v>2.77</v>
      </c>
      <c r="O7" s="2">
        <v>14.6</v>
      </c>
      <c r="P7" s="2">
        <v>13.5</v>
      </c>
      <c r="Q7" s="2">
        <v>17.13</v>
      </c>
    </row>
    <row r="8" spans="1:17" x14ac:dyDescent="0.25">
      <c r="A8" s="2">
        <v>7</v>
      </c>
      <c r="B8" s="2" t="s">
        <v>24</v>
      </c>
      <c r="C8" s="2" t="s">
        <v>19</v>
      </c>
      <c r="D8" s="3">
        <v>44309</v>
      </c>
      <c r="E8" s="2">
        <v>70.900000000000006</v>
      </c>
      <c r="F8" s="4">
        <v>2126</v>
      </c>
      <c r="G8" s="6">
        <v>0.151</v>
      </c>
      <c r="H8" s="4">
        <v>2126</v>
      </c>
      <c r="I8" s="5">
        <v>0.188</v>
      </c>
      <c r="J8" s="4">
        <v>1399</v>
      </c>
      <c r="K8" s="5">
        <v>0.52400000000000002</v>
      </c>
      <c r="L8" s="4">
        <v>14105</v>
      </c>
      <c r="M8" s="2">
        <v>24.86</v>
      </c>
      <c r="N8" s="2">
        <v>2.73</v>
      </c>
      <c r="O8" s="2">
        <v>18.3</v>
      </c>
      <c r="P8" s="2">
        <v>12.2</v>
      </c>
      <c r="Q8" s="2">
        <v>18.93</v>
      </c>
    </row>
    <row r="9" spans="1:17" x14ac:dyDescent="0.25">
      <c r="A9" s="2">
        <v>8</v>
      </c>
      <c r="B9" s="2" t="s">
        <v>27</v>
      </c>
      <c r="C9" s="2" t="s">
        <v>17</v>
      </c>
      <c r="D9" s="3">
        <v>44309</v>
      </c>
      <c r="E9" s="2">
        <v>131.28</v>
      </c>
      <c r="F9" s="4">
        <v>67936</v>
      </c>
      <c r="G9" s="5">
        <v>0.36</v>
      </c>
      <c r="H9" s="4">
        <v>67907</v>
      </c>
      <c r="I9" s="5">
        <v>0.40799999999999997</v>
      </c>
      <c r="J9" s="4">
        <v>52703</v>
      </c>
      <c r="K9" s="5">
        <v>0.68400000000000005</v>
      </c>
      <c r="L9" s="4">
        <v>188910</v>
      </c>
      <c r="M9" s="2">
        <v>277.36</v>
      </c>
      <c r="N9" s="2">
        <v>2.2799999999999998</v>
      </c>
      <c r="O9" s="2">
        <v>11.3</v>
      </c>
      <c r="P9" s="2">
        <v>11.1</v>
      </c>
      <c r="Q9" s="2">
        <v>40.799999999999997</v>
      </c>
    </row>
    <row r="10" spans="1:17" x14ac:dyDescent="0.25">
      <c r="A10" s="2">
        <v>9</v>
      </c>
      <c r="B10" s="2" t="s">
        <v>28</v>
      </c>
      <c r="C10" s="2" t="s">
        <v>17</v>
      </c>
      <c r="D10" s="3">
        <v>44309</v>
      </c>
      <c r="E10" s="2">
        <v>131.63</v>
      </c>
      <c r="F10" s="4">
        <v>43438</v>
      </c>
      <c r="G10" s="5">
        <v>0.28999999999999998</v>
      </c>
      <c r="H10" s="4">
        <v>43431</v>
      </c>
      <c r="I10" s="5">
        <v>0.34</v>
      </c>
      <c r="J10" s="4">
        <v>34011</v>
      </c>
      <c r="K10" s="5">
        <v>0.61899999999999999</v>
      </c>
      <c r="L10" s="4">
        <v>149657</v>
      </c>
      <c r="M10" s="2">
        <v>257.18</v>
      </c>
      <c r="N10" s="2">
        <v>2.2400000000000002</v>
      </c>
      <c r="O10" s="2">
        <v>10.4</v>
      </c>
      <c r="P10" s="2">
        <v>16.7</v>
      </c>
      <c r="Q10" s="2">
        <v>36.71</v>
      </c>
    </row>
    <row r="11" spans="1:17" x14ac:dyDescent="0.25">
      <c r="A11" s="2">
        <v>10</v>
      </c>
      <c r="B11" s="2" t="s">
        <v>29</v>
      </c>
      <c r="C11" s="2" t="s">
        <v>17</v>
      </c>
      <c r="D11" s="3">
        <v>44309</v>
      </c>
      <c r="E11" s="2">
        <v>138.19999999999999</v>
      </c>
      <c r="F11" s="4">
        <v>41635</v>
      </c>
      <c r="G11" s="5">
        <v>0.19</v>
      </c>
      <c r="H11" s="4">
        <v>41597</v>
      </c>
      <c r="I11" s="5">
        <v>0.246</v>
      </c>
      <c r="J11" s="4">
        <v>20863</v>
      </c>
      <c r="K11" s="5">
        <v>0.58199999999999996</v>
      </c>
      <c r="L11" s="4">
        <v>219252</v>
      </c>
      <c r="M11" s="2">
        <v>362.63</v>
      </c>
      <c r="N11" s="2">
        <v>2.81</v>
      </c>
      <c r="O11" s="2">
        <v>10.4</v>
      </c>
      <c r="P11" s="2">
        <v>10.6</v>
      </c>
      <c r="Q11" s="2">
        <v>16.350000000000001</v>
      </c>
    </row>
    <row r="12" spans="1:17" x14ac:dyDescent="0.25">
      <c r="A12" s="2">
        <v>11</v>
      </c>
      <c r="B12" s="2" t="s">
        <v>30</v>
      </c>
      <c r="C12" s="2" t="s">
        <v>17</v>
      </c>
      <c r="D12" s="3">
        <v>44309</v>
      </c>
      <c r="E12" s="2">
        <v>164.98</v>
      </c>
      <c r="F12" s="4">
        <v>125767</v>
      </c>
      <c r="G12" s="6">
        <v>0.32700000000000001</v>
      </c>
      <c r="H12" s="4">
        <v>125723</v>
      </c>
      <c r="I12" s="5">
        <v>0.39300000000000002</v>
      </c>
      <c r="J12" s="4">
        <v>93133</v>
      </c>
      <c r="K12" s="5">
        <v>0.73499999999999999</v>
      </c>
      <c r="L12" s="4">
        <v>384902</v>
      </c>
      <c r="M12" s="2">
        <v>192.75</v>
      </c>
      <c r="N12" s="2">
        <v>2.5499999999999998</v>
      </c>
      <c r="O12" s="2">
        <v>16.5</v>
      </c>
      <c r="P12" s="2">
        <v>12.3</v>
      </c>
      <c r="Q12" s="2">
        <v>32.92</v>
      </c>
    </row>
    <row r="13" spans="1:17" x14ac:dyDescent="0.25">
      <c r="A13" s="2">
        <v>12</v>
      </c>
      <c r="B13" s="2" t="s">
        <v>31</v>
      </c>
      <c r="C13" s="2" t="s">
        <v>19</v>
      </c>
      <c r="D13" s="3">
        <v>44309</v>
      </c>
      <c r="E13" s="2">
        <v>71.14</v>
      </c>
      <c r="F13" s="4">
        <v>13036</v>
      </c>
      <c r="G13" s="5">
        <v>0.182</v>
      </c>
      <c r="H13" s="4">
        <v>13032</v>
      </c>
      <c r="I13" s="5">
        <v>0.23200000000000001</v>
      </c>
      <c r="J13" s="4">
        <v>7858</v>
      </c>
      <c r="K13" s="5">
        <v>0.56899999999999995</v>
      </c>
      <c r="L13" s="4">
        <v>71686</v>
      </c>
      <c r="M13" s="2">
        <v>89.88</v>
      </c>
      <c r="N13" s="2">
        <v>2.57</v>
      </c>
      <c r="O13" s="2">
        <v>12.4</v>
      </c>
      <c r="P13" s="2">
        <v>17.399999999999999</v>
      </c>
      <c r="Q13" s="2">
        <v>19.260000000000002</v>
      </c>
    </row>
    <row r="14" spans="1:17" x14ac:dyDescent="0.25">
      <c r="A14" s="2">
        <v>13</v>
      </c>
      <c r="B14" s="2" t="s">
        <v>32</v>
      </c>
      <c r="C14" s="2" t="s">
        <v>17</v>
      </c>
      <c r="D14" s="3">
        <v>44309</v>
      </c>
      <c r="E14" s="2">
        <v>152.63</v>
      </c>
      <c r="F14" s="4">
        <v>6283</v>
      </c>
      <c r="G14" s="5">
        <v>0.16500000000000001</v>
      </c>
      <c r="H14" s="4">
        <v>6282</v>
      </c>
      <c r="I14" s="5">
        <v>0.20399999999999999</v>
      </c>
      <c r="J14" s="4">
        <v>4599</v>
      </c>
      <c r="K14" s="5">
        <v>0.53700000000000003</v>
      </c>
      <c r="L14" s="4">
        <v>38001</v>
      </c>
      <c r="M14" s="2">
        <v>59.68</v>
      </c>
      <c r="N14" s="2">
        <v>2.74</v>
      </c>
      <c r="O14" s="2">
        <v>18.399999999999999</v>
      </c>
      <c r="P14" s="2">
        <v>28.5</v>
      </c>
      <c r="Q14" s="2">
        <v>22.52</v>
      </c>
    </row>
    <row r="15" spans="1:17" x14ac:dyDescent="0.25">
      <c r="A15" s="2">
        <v>14</v>
      </c>
      <c r="B15" s="2" t="s">
        <v>33</v>
      </c>
      <c r="C15" s="2" t="s">
        <v>19</v>
      </c>
      <c r="D15" s="3">
        <v>44309</v>
      </c>
      <c r="E15" s="2">
        <v>71.319999999999993</v>
      </c>
      <c r="F15" s="4">
        <v>2562</v>
      </c>
      <c r="G15" s="5">
        <v>0.152</v>
      </c>
      <c r="H15" s="4">
        <v>2562</v>
      </c>
      <c r="I15" s="5">
        <v>0.186</v>
      </c>
      <c r="J15" s="4">
        <v>1897</v>
      </c>
      <c r="K15" s="5">
        <v>0.47599999999999998</v>
      </c>
      <c r="L15" s="4">
        <v>16826</v>
      </c>
      <c r="M15" s="2">
        <v>23.86</v>
      </c>
      <c r="N15" s="2">
        <v>2.2799999999999998</v>
      </c>
      <c r="O15" s="2">
        <v>17.2</v>
      </c>
      <c r="P15" s="2">
        <v>23.1</v>
      </c>
      <c r="Q15" s="2">
        <v>23.68</v>
      </c>
    </row>
    <row r="16" spans="1:17" x14ac:dyDescent="0.25">
      <c r="A16" s="2">
        <v>15</v>
      </c>
      <c r="B16" s="2" t="s">
        <v>34</v>
      </c>
      <c r="C16" s="2" t="s">
        <v>17</v>
      </c>
      <c r="D16" s="3">
        <v>44309</v>
      </c>
      <c r="E16" s="2">
        <v>115.69</v>
      </c>
      <c r="F16" s="4">
        <v>240317</v>
      </c>
      <c r="G16" s="5">
        <v>0.251</v>
      </c>
      <c r="H16" s="4">
        <v>240038</v>
      </c>
      <c r="I16" s="5">
        <v>0.32300000000000001</v>
      </c>
      <c r="J16" s="4">
        <v>98477</v>
      </c>
      <c r="K16" s="5">
        <v>0.71099999999999997</v>
      </c>
      <c r="L16" s="4">
        <v>957755</v>
      </c>
      <c r="M16" s="7">
        <v>1255.8599999999999</v>
      </c>
      <c r="N16" s="2">
        <v>2.5499999999999998</v>
      </c>
      <c r="O16" s="2">
        <v>12</v>
      </c>
      <c r="P16" s="2">
        <v>15.5</v>
      </c>
      <c r="Q16" s="2">
        <v>14.47</v>
      </c>
    </row>
    <row r="17" spans="1:17" x14ac:dyDescent="0.25">
      <c r="A17" s="2">
        <v>16</v>
      </c>
      <c r="B17" s="2" t="s">
        <v>35</v>
      </c>
      <c r="C17" s="2" t="s">
        <v>19</v>
      </c>
      <c r="D17" s="3">
        <v>44309</v>
      </c>
      <c r="E17" s="2">
        <v>85.14</v>
      </c>
      <c r="F17" s="4">
        <v>74590</v>
      </c>
      <c r="G17" s="5">
        <v>0.23400000000000001</v>
      </c>
      <c r="H17" s="4">
        <v>74551</v>
      </c>
      <c r="I17" s="5">
        <v>0.29599999999999999</v>
      </c>
      <c r="J17" s="4">
        <v>36283</v>
      </c>
      <c r="K17" s="5">
        <v>0.66500000000000004</v>
      </c>
      <c r="L17" s="4">
        <v>318316</v>
      </c>
      <c r="M17" s="2">
        <v>484.52</v>
      </c>
      <c r="N17" s="2">
        <v>2.4700000000000002</v>
      </c>
      <c r="O17" s="2">
        <v>10.199999999999999</v>
      </c>
      <c r="P17" s="2">
        <v>13.9</v>
      </c>
      <c r="Q17" s="2">
        <v>17.14</v>
      </c>
    </row>
    <row r="18" spans="1:17" x14ac:dyDescent="0.25">
      <c r="A18" s="2">
        <v>17</v>
      </c>
      <c r="B18" s="2" t="s">
        <v>36</v>
      </c>
      <c r="C18" s="2" t="s">
        <v>17</v>
      </c>
      <c r="D18" s="3">
        <v>44309</v>
      </c>
      <c r="E18" s="2">
        <v>110.36</v>
      </c>
      <c r="F18" s="4">
        <v>35068</v>
      </c>
      <c r="G18" s="5">
        <v>0.30499999999999999</v>
      </c>
      <c r="H18" s="4">
        <v>35058</v>
      </c>
      <c r="I18" s="5">
        <v>0.36499999999999999</v>
      </c>
      <c r="J18" s="4">
        <v>25079</v>
      </c>
      <c r="K18" s="5">
        <v>0.69899999999999995</v>
      </c>
      <c r="L18" s="4">
        <v>115081</v>
      </c>
      <c r="M18" s="2">
        <v>237.21</v>
      </c>
      <c r="N18" s="2">
        <v>2.62</v>
      </c>
      <c r="O18" s="2">
        <v>12.7</v>
      </c>
      <c r="P18" s="2">
        <v>11.9</v>
      </c>
      <c r="Q18" s="2">
        <v>31.19</v>
      </c>
    </row>
    <row r="19" spans="1:17" x14ac:dyDescent="0.25">
      <c r="A19" s="2">
        <v>18</v>
      </c>
      <c r="B19" s="2" t="s">
        <v>37</v>
      </c>
      <c r="C19" s="2" t="s">
        <v>25</v>
      </c>
      <c r="D19" s="3">
        <v>44309</v>
      </c>
      <c r="E19" s="2" t="s">
        <v>26</v>
      </c>
      <c r="F19" s="4">
        <v>3036</v>
      </c>
      <c r="G19" s="5">
        <v>0.25</v>
      </c>
      <c r="H19" s="4">
        <v>3036</v>
      </c>
      <c r="I19" s="5">
        <v>0.29599999999999999</v>
      </c>
      <c r="J19" s="4">
        <v>2069</v>
      </c>
      <c r="K19" s="5">
        <v>0.70699999999999996</v>
      </c>
      <c r="L19" s="4">
        <v>12125</v>
      </c>
      <c r="M19" s="2">
        <v>22.24</v>
      </c>
      <c r="N19" s="2">
        <v>2.35</v>
      </c>
      <c r="O19" s="2">
        <v>18.3</v>
      </c>
      <c r="P19" s="2">
        <v>20.7</v>
      </c>
      <c r="Q19" s="2">
        <v>24.13</v>
      </c>
    </row>
    <row r="20" spans="1:17" x14ac:dyDescent="0.25">
      <c r="A20" s="2">
        <v>19</v>
      </c>
      <c r="B20" s="2" t="s">
        <v>38</v>
      </c>
      <c r="C20" s="2" t="s">
        <v>19</v>
      </c>
      <c r="D20" s="3">
        <v>44309</v>
      </c>
      <c r="E20" s="2">
        <v>61.32</v>
      </c>
      <c r="F20" s="4">
        <v>11999</v>
      </c>
      <c r="G20" s="5">
        <v>0.26300000000000001</v>
      </c>
      <c r="H20" s="4">
        <v>11991</v>
      </c>
      <c r="I20" s="5">
        <v>0.33500000000000002</v>
      </c>
      <c r="J20" s="4">
        <v>6050</v>
      </c>
      <c r="K20" s="5">
        <v>0.70799999999999996</v>
      </c>
      <c r="L20" s="4">
        <v>45660</v>
      </c>
      <c r="M20" s="2">
        <v>88.44</v>
      </c>
      <c r="N20" s="2">
        <v>2.4700000000000002</v>
      </c>
      <c r="O20" s="2">
        <v>14.9</v>
      </c>
      <c r="P20" s="2">
        <v>24.6</v>
      </c>
      <c r="Q20" s="2">
        <v>18.7</v>
      </c>
    </row>
    <row r="21" spans="1:17" x14ac:dyDescent="0.25">
      <c r="A21" s="2">
        <v>20</v>
      </c>
      <c r="B21" s="2" t="s">
        <v>39</v>
      </c>
      <c r="C21" s="2" t="s">
        <v>17</v>
      </c>
      <c r="D21" s="3">
        <v>44309</v>
      </c>
      <c r="E21" s="2">
        <v>134.54</v>
      </c>
      <c r="F21" s="4">
        <v>2846</v>
      </c>
      <c r="G21" s="5">
        <v>0.153</v>
      </c>
      <c r="H21" s="4">
        <v>2844</v>
      </c>
      <c r="I21" s="6">
        <v>0.191</v>
      </c>
      <c r="J21" s="4">
        <v>1854</v>
      </c>
      <c r="K21" s="5">
        <v>0.48299999999999998</v>
      </c>
      <c r="L21" s="4">
        <v>18582</v>
      </c>
      <c r="M21" s="2">
        <v>53.14</v>
      </c>
      <c r="N21" s="2">
        <v>2.5</v>
      </c>
      <c r="O21" s="2">
        <v>18.100000000000001</v>
      </c>
      <c r="P21" s="2">
        <v>17.899999999999999</v>
      </c>
      <c r="Q21" s="2">
        <v>20.65</v>
      </c>
    </row>
    <row r="22" spans="1:17" x14ac:dyDescent="0.25">
      <c r="A22" s="2">
        <v>21</v>
      </c>
      <c r="B22" s="2" t="s">
        <v>40</v>
      </c>
      <c r="C22" s="2" t="s">
        <v>19</v>
      </c>
      <c r="D22" s="3">
        <v>44309</v>
      </c>
      <c r="E22" s="2">
        <v>86.89</v>
      </c>
      <c r="F22" s="4">
        <v>1956</v>
      </c>
      <c r="G22" s="6">
        <v>0.14199999999999999</v>
      </c>
      <c r="H22" s="4">
        <v>1956</v>
      </c>
      <c r="I22" s="5">
        <v>0.16500000000000001</v>
      </c>
      <c r="J22" s="4">
        <v>1366</v>
      </c>
      <c r="K22" s="5">
        <v>0.35899999999999999</v>
      </c>
      <c r="L22" s="4">
        <v>13811</v>
      </c>
      <c r="M22" s="2">
        <v>17.12</v>
      </c>
      <c r="N22" s="2">
        <v>2.71</v>
      </c>
      <c r="O22" s="2">
        <v>19.899999999999999</v>
      </c>
      <c r="P22" s="2">
        <v>17</v>
      </c>
      <c r="Q22" s="2">
        <v>27.57</v>
      </c>
    </row>
    <row r="23" spans="1:17" x14ac:dyDescent="0.25">
      <c r="A23" s="2">
        <v>22</v>
      </c>
      <c r="B23" s="2" t="s">
        <v>41</v>
      </c>
      <c r="C23" s="2" t="s">
        <v>19</v>
      </c>
      <c r="D23" s="3">
        <v>44309</v>
      </c>
      <c r="E23" s="2" t="s">
        <v>26</v>
      </c>
      <c r="F23" s="4">
        <v>3311</v>
      </c>
      <c r="G23" s="6">
        <v>0.24299999999999999</v>
      </c>
      <c r="H23" s="4">
        <v>3311</v>
      </c>
      <c r="I23" s="5">
        <v>0.29699999999999999</v>
      </c>
      <c r="J23" s="4">
        <v>2330</v>
      </c>
      <c r="K23" s="5">
        <v>0.64500000000000002</v>
      </c>
      <c r="L23" s="4">
        <v>13639</v>
      </c>
      <c r="M23" s="2">
        <v>24.64</v>
      </c>
      <c r="N23" s="2">
        <v>2.5499999999999998</v>
      </c>
      <c r="O23" s="2">
        <v>11.4</v>
      </c>
      <c r="P23" s="2">
        <v>13.9</v>
      </c>
      <c r="Q23" s="2">
        <v>26.5</v>
      </c>
    </row>
    <row r="24" spans="1:17" x14ac:dyDescent="0.25">
      <c r="A24" s="2">
        <v>23</v>
      </c>
      <c r="B24" s="2" t="s">
        <v>42</v>
      </c>
      <c r="C24" s="2" t="s">
        <v>19</v>
      </c>
      <c r="D24" s="3">
        <v>44309</v>
      </c>
      <c r="E24" s="2">
        <v>97.03</v>
      </c>
      <c r="F24" s="4">
        <v>2318</v>
      </c>
      <c r="G24" s="5">
        <v>0.161</v>
      </c>
      <c r="H24" s="4">
        <v>2318</v>
      </c>
      <c r="I24" s="5">
        <v>0.19800000000000001</v>
      </c>
      <c r="J24" s="4">
        <v>1513</v>
      </c>
      <c r="K24" s="5">
        <v>0.56799999999999995</v>
      </c>
      <c r="L24" s="4">
        <v>14428</v>
      </c>
      <c r="M24" s="2">
        <v>28.08</v>
      </c>
      <c r="N24" s="2">
        <v>2.44</v>
      </c>
      <c r="O24" s="2">
        <v>14.3</v>
      </c>
      <c r="P24" s="2">
        <v>29.5</v>
      </c>
      <c r="Q24" s="2">
        <v>18.46</v>
      </c>
    </row>
    <row r="25" spans="1:17" x14ac:dyDescent="0.25">
      <c r="A25" s="2">
        <v>24</v>
      </c>
      <c r="B25" s="2" t="s">
        <v>43</v>
      </c>
      <c r="C25" s="2" t="s">
        <v>17</v>
      </c>
      <c r="D25" s="3">
        <v>44309</v>
      </c>
      <c r="E25" s="2">
        <v>193.04</v>
      </c>
      <c r="F25" s="4">
        <v>3498</v>
      </c>
      <c r="G25" s="5">
        <v>0.13</v>
      </c>
      <c r="H25" s="4">
        <v>3497</v>
      </c>
      <c r="I25" s="5">
        <v>0.17399999999999999</v>
      </c>
      <c r="J25" s="4">
        <v>2433</v>
      </c>
      <c r="K25" s="5">
        <v>0.51800000000000002</v>
      </c>
      <c r="L25" s="4">
        <v>26937</v>
      </c>
      <c r="M25" s="2">
        <v>42.25</v>
      </c>
      <c r="N25" s="2">
        <v>3.22</v>
      </c>
      <c r="O25" s="2">
        <v>12.2</v>
      </c>
      <c r="P25" s="2">
        <v>26.7</v>
      </c>
      <c r="Q25" s="2">
        <v>17.43</v>
      </c>
    </row>
    <row r="26" spans="1:17" x14ac:dyDescent="0.25">
      <c r="A26" s="2">
        <v>25</v>
      </c>
      <c r="B26" s="2" t="s">
        <v>44</v>
      </c>
      <c r="C26" s="2" t="s">
        <v>17</v>
      </c>
      <c r="D26" s="3">
        <v>44309</v>
      </c>
      <c r="E26" s="2">
        <v>114.23</v>
      </c>
      <c r="F26" s="4">
        <v>6794</v>
      </c>
      <c r="G26" s="5">
        <v>0.16200000000000001</v>
      </c>
      <c r="H26" s="4">
        <v>6791</v>
      </c>
      <c r="I26" s="5">
        <v>0.22</v>
      </c>
      <c r="J26" s="4">
        <v>3664</v>
      </c>
      <c r="K26" s="5">
        <v>0.63400000000000001</v>
      </c>
      <c r="L26" s="4">
        <v>42022</v>
      </c>
      <c r="M26" s="2">
        <v>36.340000000000003</v>
      </c>
      <c r="N26" s="2">
        <v>3.17</v>
      </c>
      <c r="O26" s="2">
        <v>26.2</v>
      </c>
      <c r="P26" s="2">
        <v>26.8</v>
      </c>
      <c r="Q26" s="2">
        <v>13.75</v>
      </c>
    </row>
    <row r="27" spans="1:17" x14ac:dyDescent="0.25">
      <c r="A27" s="2">
        <v>26</v>
      </c>
      <c r="B27" s="2" t="s">
        <v>45</v>
      </c>
      <c r="C27" s="2" t="s">
        <v>17</v>
      </c>
      <c r="D27" s="3">
        <v>44309</v>
      </c>
      <c r="E27" s="2">
        <v>177.91</v>
      </c>
      <c r="F27" s="4">
        <v>46232</v>
      </c>
      <c r="G27" s="5">
        <v>0.23799999999999999</v>
      </c>
      <c r="H27" s="4">
        <v>46211</v>
      </c>
      <c r="I27" s="5">
        <v>0.29099999999999998</v>
      </c>
      <c r="J27" s="4">
        <v>31920</v>
      </c>
      <c r="K27" s="5">
        <v>0.59799999999999998</v>
      </c>
      <c r="L27" s="4">
        <v>193920</v>
      </c>
      <c r="M27" s="2">
        <v>410.01</v>
      </c>
      <c r="N27" s="2">
        <v>2.46</v>
      </c>
      <c r="O27" s="2">
        <v>12.6</v>
      </c>
      <c r="P27" s="2">
        <v>14.3</v>
      </c>
      <c r="Q27" s="2">
        <v>27.51</v>
      </c>
    </row>
    <row r="28" spans="1:17" x14ac:dyDescent="0.25">
      <c r="A28" s="2">
        <v>27</v>
      </c>
      <c r="B28" s="2" t="s">
        <v>46</v>
      </c>
      <c r="C28" s="2" t="s">
        <v>17</v>
      </c>
      <c r="D28" s="3">
        <v>44309</v>
      </c>
      <c r="E28" s="2">
        <v>213.71</v>
      </c>
      <c r="F28" s="4">
        <v>25512</v>
      </c>
      <c r="G28" s="5">
        <v>0.24</v>
      </c>
      <c r="H28" s="4">
        <v>25509</v>
      </c>
      <c r="I28" s="5">
        <v>0.28899999999999998</v>
      </c>
      <c r="J28" s="4">
        <v>20105</v>
      </c>
      <c r="K28" s="5">
        <v>0.52500000000000002</v>
      </c>
      <c r="L28" s="4">
        <v>106221</v>
      </c>
      <c r="M28" s="2">
        <v>104.38</v>
      </c>
      <c r="N28" s="2">
        <v>2.44</v>
      </c>
      <c r="O28" s="2">
        <v>12.7</v>
      </c>
      <c r="P28" s="2">
        <v>19.2</v>
      </c>
      <c r="Q28" s="2">
        <v>36.049999999999997</v>
      </c>
    </row>
    <row r="29" spans="1:17" x14ac:dyDescent="0.25">
      <c r="A29" s="2">
        <v>28</v>
      </c>
      <c r="B29" s="2" t="s">
        <v>47</v>
      </c>
      <c r="C29" s="2" t="s">
        <v>17</v>
      </c>
      <c r="D29" s="3">
        <v>44309</v>
      </c>
      <c r="E29" s="2">
        <v>219.43</v>
      </c>
      <c r="F29" s="4">
        <v>333680</v>
      </c>
      <c r="G29" s="5">
        <v>0.22700000000000001</v>
      </c>
      <c r="H29" s="4">
        <v>333303</v>
      </c>
      <c r="I29" s="5">
        <v>0.29099999999999998</v>
      </c>
      <c r="J29" s="4">
        <v>130684</v>
      </c>
      <c r="K29" s="5">
        <v>0.61099999999999999</v>
      </c>
      <c r="L29" s="4">
        <v>1471968</v>
      </c>
      <c r="M29" s="7">
        <v>1440.39</v>
      </c>
      <c r="N29" s="2">
        <v>2.63</v>
      </c>
      <c r="O29" s="2">
        <v>13</v>
      </c>
      <c r="P29" s="2">
        <v>15.3</v>
      </c>
      <c r="Q29" s="2">
        <v>14.54</v>
      </c>
    </row>
    <row r="30" spans="1:17" x14ac:dyDescent="0.25">
      <c r="A30" s="2">
        <v>29</v>
      </c>
      <c r="B30" s="2" t="s">
        <v>48</v>
      </c>
      <c r="C30" s="2" t="s">
        <v>25</v>
      </c>
      <c r="D30" s="3">
        <v>44309</v>
      </c>
      <c r="E30" s="2" t="s">
        <v>26</v>
      </c>
      <c r="F30" s="4">
        <v>2605</v>
      </c>
      <c r="G30" s="5">
        <v>0.13300000000000001</v>
      </c>
      <c r="H30" s="4">
        <v>2604</v>
      </c>
      <c r="I30" s="5">
        <v>0.16700000000000001</v>
      </c>
      <c r="J30" s="4">
        <v>1725</v>
      </c>
      <c r="K30" s="5">
        <v>0.44</v>
      </c>
      <c r="L30" s="4">
        <v>19617</v>
      </c>
      <c r="M30" s="2">
        <v>40.97</v>
      </c>
      <c r="N30" s="2">
        <v>2.5099999999999998</v>
      </c>
      <c r="O30" s="2">
        <v>18.899999999999999</v>
      </c>
      <c r="P30" s="2">
        <v>25.6</v>
      </c>
      <c r="Q30" s="2">
        <v>19.989999999999998</v>
      </c>
    </row>
    <row r="31" spans="1:17" x14ac:dyDescent="0.25">
      <c r="A31" s="2">
        <v>30</v>
      </c>
      <c r="B31" s="2" t="s">
        <v>49</v>
      </c>
      <c r="C31" s="2" t="s">
        <v>17</v>
      </c>
      <c r="D31" s="3">
        <v>44309</v>
      </c>
      <c r="E31" s="2">
        <v>106.93</v>
      </c>
      <c r="F31" s="4">
        <v>49486</v>
      </c>
      <c r="G31" s="5">
        <v>0.309</v>
      </c>
      <c r="H31" s="4">
        <v>49470</v>
      </c>
      <c r="I31" s="5">
        <v>0.36699999999999999</v>
      </c>
      <c r="J31" s="4">
        <v>36714</v>
      </c>
      <c r="K31" s="5">
        <v>0.67800000000000005</v>
      </c>
      <c r="L31" s="4">
        <v>159923</v>
      </c>
      <c r="M31" s="2">
        <v>318.08</v>
      </c>
      <c r="N31" s="2">
        <v>2.6</v>
      </c>
      <c r="O31" s="2">
        <v>12.1</v>
      </c>
      <c r="P31" s="2">
        <v>12.2</v>
      </c>
      <c r="Q31" s="2">
        <v>33.85</v>
      </c>
    </row>
    <row r="32" spans="1:17" x14ac:dyDescent="0.25">
      <c r="A32" s="2">
        <v>31</v>
      </c>
      <c r="B32" s="2" t="s">
        <v>50</v>
      </c>
      <c r="C32" s="2" t="s">
        <v>19</v>
      </c>
      <c r="D32" s="3">
        <v>44309</v>
      </c>
      <c r="E32" s="2">
        <v>51.71</v>
      </c>
      <c r="F32" s="4">
        <v>8829</v>
      </c>
      <c r="G32" s="5">
        <v>0.19</v>
      </c>
      <c r="H32" s="4">
        <v>8828</v>
      </c>
      <c r="I32" s="5">
        <v>0.23400000000000001</v>
      </c>
      <c r="J32" s="4">
        <v>5235</v>
      </c>
      <c r="K32" s="5">
        <v>0.54700000000000004</v>
      </c>
      <c r="L32" s="4">
        <v>46414</v>
      </c>
      <c r="M32" s="2">
        <v>50.55</v>
      </c>
      <c r="N32" s="2">
        <v>2.4</v>
      </c>
      <c r="O32" s="2">
        <v>11.3</v>
      </c>
      <c r="P32" s="2">
        <v>20.6</v>
      </c>
      <c r="Q32" s="2">
        <v>20.62</v>
      </c>
    </row>
    <row r="33" spans="1:17" x14ac:dyDescent="0.25">
      <c r="A33" s="2">
        <v>32</v>
      </c>
      <c r="B33" s="2" t="s">
        <v>51</v>
      </c>
      <c r="C33" s="2" t="s">
        <v>17</v>
      </c>
      <c r="D33" s="3">
        <v>44309</v>
      </c>
      <c r="E33" s="2">
        <v>133.37</v>
      </c>
      <c r="F33" s="4">
        <v>4737</v>
      </c>
      <c r="G33" s="5">
        <v>0.33300000000000002</v>
      </c>
      <c r="H33" s="4">
        <v>4736</v>
      </c>
      <c r="I33" s="5">
        <v>0.39800000000000002</v>
      </c>
      <c r="J33" s="4">
        <v>3220</v>
      </c>
      <c r="K33" s="5">
        <v>0.91700000000000004</v>
      </c>
      <c r="L33" s="4">
        <v>14246</v>
      </c>
      <c r="M33" s="2">
        <v>23.82</v>
      </c>
      <c r="N33" s="2">
        <v>2.04</v>
      </c>
      <c r="O33" s="2">
        <v>6.4</v>
      </c>
      <c r="P33" s="2">
        <v>14.1</v>
      </c>
      <c r="Q33" s="2">
        <v>24.65</v>
      </c>
    </row>
    <row r="34" spans="1:17" x14ac:dyDescent="0.25">
      <c r="A34" s="2">
        <v>33</v>
      </c>
      <c r="B34" s="2" t="s">
        <v>52</v>
      </c>
      <c r="C34" s="2" t="s">
        <v>19</v>
      </c>
      <c r="D34" s="3">
        <v>44309</v>
      </c>
      <c r="E34" s="2" t="s">
        <v>26</v>
      </c>
      <c r="F34" s="4">
        <v>1352</v>
      </c>
      <c r="G34" s="6">
        <v>0.161</v>
      </c>
      <c r="H34" s="4">
        <v>1352</v>
      </c>
      <c r="I34" s="6">
        <v>0.2</v>
      </c>
      <c r="J34" s="4">
        <v>1065</v>
      </c>
      <c r="K34" s="5">
        <v>0.73199999999999998</v>
      </c>
      <c r="L34" s="4">
        <v>8422</v>
      </c>
      <c r="M34" s="2">
        <v>15.5</v>
      </c>
      <c r="N34" s="2">
        <v>3.43</v>
      </c>
      <c r="O34" s="2">
        <v>17.600000000000001</v>
      </c>
      <c r="P34" s="2">
        <v>20.100000000000001</v>
      </c>
      <c r="Q34" s="2">
        <v>17.28</v>
      </c>
    </row>
    <row r="35" spans="1:17" x14ac:dyDescent="0.25">
      <c r="A35" s="2">
        <v>34</v>
      </c>
      <c r="B35" s="2" t="s">
        <v>53</v>
      </c>
      <c r="C35" s="2" t="s">
        <v>17</v>
      </c>
      <c r="D35" s="3">
        <v>44309</v>
      </c>
      <c r="E35" s="2">
        <v>171.33</v>
      </c>
      <c r="F35" s="4">
        <v>114885</v>
      </c>
      <c r="G35" s="5">
        <v>0.313</v>
      </c>
      <c r="H35" s="4">
        <v>114784</v>
      </c>
      <c r="I35" s="5">
        <v>0.38600000000000001</v>
      </c>
      <c r="J35" s="4">
        <v>76798</v>
      </c>
      <c r="K35" s="5">
        <v>0.77300000000000002</v>
      </c>
      <c r="L35" s="4">
        <v>367118</v>
      </c>
      <c r="M35" s="2">
        <v>386.13</v>
      </c>
      <c r="N35" s="2">
        <v>2.5499999999999998</v>
      </c>
      <c r="O35" s="2">
        <v>11.6</v>
      </c>
      <c r="P35" s="2">
        <v>12.5</v>
      </c>
      <c r="Q35" s="2">
        <v>27.07</v>
      </c>
    </row>
    <row r="36" spans="1:17" x14ac:dyDescent="0.25">
      <c r="A36" s="2">
        <v>35</v>
      </c>
      <c r="B36" s="2" t="s">
        <v>54</v>
      </c>
      <c r="C36" s="2" t="s">
        <v>17</v>
      </c>
      <c r="D36" s="3">
        <v>44309</v>
      </c>
      <c r="E36" s="2">
        <v>208.8</v>
      </c>
      <c r="F36" s="4">
        <v>204681</v>
      </c>
      <c r="G36" s="5">
        <v>0.26600000000000001</v>
      </c>
      <c r="H36" s="4">
        <v>204633</v>
      </c>
      <c r="I36" s="5">
        <v>0.32100000000000001</v>
      </c>
      <c r="J36" s="4">
        <v>148524</v>
      </c>
      <c r="K36" s="5">
        <v>0.66100000000000003</v>
      </c>
      <c r="L36" s="4">
        <v>770577</v>
      </c>
      <c r="M36" s="2">
        <v>986.08</v>
      </c>
      <c r="N36" s="2">
        <v>2.61</v>
      </c>
      <c r="O36" s="2">
        <v>14.3</v>
      </c>
      <c r="P36" s="2">
        <v>14</v>
      </c>
      <c r="Q36" s="2">
        <v>29.15</v>
      </c>
    </row>
    <row r="37" spans="1:17" x14ac:dyDescent="0.25">
      <c r="A37" s="2">
        <v>36</v>
      </c>
      <c r="B37" s="2" t="s">
        <v>55</v>
      </c>
      <c r="C37" s="2" t="s">
        <v>19</v>
      </c>
      <c r="D37" s="3">
        <v>44309</v>
      </c>
      <c r="E37" s="2">
        <v>94.01</v>
      </c>
      <c r="F37" s="4">
        <v>74894</v>
      </c>
      <c r="G37" s="5">
        <v>0.255</v>
      </c>
      <c r="H37" s="4">
        <v>74771</v>
      </c>
      <c r="I37" s="5">
        <v>0.313</v>
      </c>
      <c r="J37" s="4">
        <v>31791</v>
      </c>
      <c r="K37" s="5">
        <v>0.77900000000000003</v>
      </c>
      <c r="L37" s="4">
        <v>293582</v>
      </c>
      <c r="M37" s="2">
        <v>440.23</v>
      </c>
      <c r="N37" s="2">
        <v>2.4300000000000002</v>
      </c>
      <c r="O37" s="2">
        <v>8.1999999999999993</v>
      </c>
      <c r="P37" s="2">
        <v>20.399999999999999</v>
      </c>
      <c r="Q37" s="2">
        <v>13.89</v>
      </c>
    </row>
    <row r="38" spans="1:17" x14ac:dyDescent="0.25">
      <c r="A38" s="2">
        <v>37</v>
      </c>
      <c r="B38" s="2" t="s">
        <v>56</v>
      </c>
      <c r="C38" s="2" t="s">
        <v>17</v>
      </c>
      <c r="D38" s="3">
        <v>44309</v>
      </c>
      <c r="E38" s="2">
        <v>197.58</v>
      </c>
      <c r="F38" s="4">
        <v>8079</v>
      </c>
      <c r="G38" s="5">
        <v>0.19500000000000001</v>
      </c>
      <c r="H38" s="4">
        <v>8073</v>
      </c>
      <c r="I38" s="6">
        <v>0.24099999999999999</v>
      </c>
      <c r="J38" s="4">
        <v>5521</v>
      </c>
      <c r="K38" s="5">
        <v>0.52900000000000003</v>
      </c>
      <c r="L38" s="4">
        <v>41503</v>
      </c>
      <c r="M38" s="2">
        <v>37.119999999999997</v>
      </c>
      <c r="N38" s="2">
        <v>2.41</v>
      </c>
      <c r="O38" s="2">
        <v>15.5</v>
      </c>
      <c r="P38" s="2">
        <v>20.7</v>
      </c>
      <c r="Q38" s="2">
        <v>25.15</v>
      </c>
    </row>
    <row r="39" spans="1:17" x14ac:dyDescent="0.25">
      <c r="A39" s="2">
        <v>38</v>
      </c>
      <c r="B39" s="2" t="s">
        <v>57</v>
      </c>
      <c r="C39" s="2" t="s">
        <v>25</v>
      </c>
      <c r="D39" s="3">
        <v>44309</v>
      </c>
      <c r="E39" s="2" t="s">
        <v>26</v>
      </c>
      <c r="F39" s="4">
        <v>1197</v>
      </c>
      <c r="G39" s="6">
        <v>0.14299999999999999</v>
      </c>
      <c r="H39" s="4">
        <v>1197</v>
      </c>
      <c r="I39" s="6">
        <v>0.17299999999999999</v>
      </c>
      <c r="J39" s="2">
        <v>713</v>
      </c>
      <c r="K39" s="5">
        <v>0.56799999999999995</v>
      </c>
      <c r="L39" s="4">
        <v>8354</v>
      </c>
      <c r="M39" s="2">
        <v>10</v>
      </c>
      <c r="N39" s="2">
        <v>2.9</v>
      </c>
      <c r="O39" s="2">
        <v>18.5</v>
      </c>
      <c r="P39" s="2">
        <v>13</v>
      </c>
      <c r="Q39" s="2">
        <v>15.04</v>
      </c>
    </row>
    <row r="40" spans="1:17" x14ac:dyDescent="0.25">
      <c r="A40" s="2">
        <v>39</v>
      </c>
      <c r="B40" s="2" t="s">
        <v>58</v>
      </c>
      <c r="C40" s="2" t="s">
        <v>25</v>
      </c>
      <c r="D40" s="3">
        <v>44309</v>
      </c>
      <c r="E40" s="2" t="s">
        <v>26</v>
      </c>
      <c r="F40" s="4">
        <v>3883</v>
      </c>
      <c r="G40" s="5">
        <v>0.21</v>
      </c>
      <c r="H40" s="4">
        <v>3882</v>
      </c>
      <c r="I40" s="5">
        <v>0.25700000000000001</v>
      </c>
      <c r="J40" s="4">
        <v>2443</v>
      </c>
      <c r="K40" s="5">
        <v>0.626</v>
      </c>
      <c r="L40" s="4">
        <v>18493</v>
      </c>
      <c r="M40" s="2">
        <v>26.55</v>
      </c>
      <c r="N40" s="2">
        <v>2.4500000000000002</v>
      </c>
      <c r="O40" s="2">
        <v>13.1</v>
      </c>
      <c r="P40" s="2">
        <v>28.2</v>
      </c>
      <c r="Q40" s="2">
        <v>21.1</v>
      </c>
    </row>
    <row r="41" spans="1:17" x14ac:dyDescent="0.25">
      <c r="A41" s="2">
        <v>40</v>
      </c>
      <c r="B41" s="2" t="s">
        <v>59</v>
      </c>
      <c r="C41" s="2" t="s">
        <v>17</v>
      </c>
      <c r="D41" s="3">
        <v>44309</v>
      </c>
      <c r="E41" s="2">
        <v>206.07</v>
      </c>
      <c r="F41" s="4">
        <v>107611</v>
      </c>
      <c r="G41" s="5">
        <v>0.26700000000000002</v>
      </c>
      <c r="H41" s="4">
        <v>107573</v>
      </c>
      <c r="I41" s="5">
        <v>0.32500000000000001</v>
      </c>
      <c r="J41" s="4">
        <v>73820</v>
      </c>
      <c r="K41" s="5">
        <v>0.65200000000000002</v>
      </c>
      <c r="L41" s="4">
        <v>403253</v>
      </c>
      <c r="M41" s="2">
        <v>542.28</v>
      </c>
      <c r="N41" s="2">
        <v>2.57</v>
      </c>
      <c r="O41" s="2">
        <v>12.7</v>
      </c>
      <c r="P41" s="2">
        <v>12.5</v>
      </c>
      <c r="Q41" s="2">
        <v>28.06</v>
      </c>
    </row>
    <row r="42" spans="1:17" x14ac:dyDescent="0.25">
      <c r="A42" s="2">
        <v>41</v>
      </c>
      <c r="B42" s="2" t="s">
        <v>60</v>
      </c>
      <c r="C42" s="2" t="s">
        <v>17</v>
      </c>
      <c r="D42" s="3">
        <v>44309</v>
      </c>
      <c r="E42" s="2">
        <v>120.36</v>
      </c>
      <c r="F42" s="4">
        <v>93253</v>
      </c>
      <c r="G42" s="5">
        <v>0.255</v>
      </c>
      <c r="H42" s="4">
        <v>93217</v>
      </c>
      <c r="I42" s="5">
        <v>0.313</v>
      </c>
      <c r="J42" s="4">
        <v>66106</v>
      </c>
      <c r="K42" s="5">
        <v>0.62</v>
      </c>
      <c r="L42" s="4">
        <v>365579</v>
      </c>
      <c r="M42" s="2">
        <v>230.15</v>
      </c>
      <c r="N42" s="2">
        <v>2.48</v>
      </c>
      <c r="O42" s="2">
        <v>12.3</v>
      </c>
      <c r="P42" s="2">
        <v>16.600000000000001</v>
      </c>
      <c r="Q42" s="2">
        <v>29.18</v>
      </c>
    </row>
    <row r="43" spans="1:17" x14ac:dyDescent="0.25">
      <c r="A43" s="2">
        <v>42</v>
      </c>
      <c r="B43" s="2" t="s">
        <v>61</v>
      </c>
      <c r="C43" s="2" t="s">
        <v>17</v>
      </c>
      <c r="D43" s="3">
        <v>44309</v>
      </c>
      <c r="E43" s="2">
        <v>132.91999999999999</v>
      </c>
      <c r="F43" s="4">
        <v>49943</v>
      </c>
      <c r="G43" s="5">
        <v>0.31</v>
      </c>
      <c r="H43" s="4">
        <v>49922</v>
      </c>
      <c r="I43" s="5">
        <v>0.37</v>
      </c>
      <c r="J43" s="4">
        <v>36733</v>
      </c>
      <c r="K43" s="6">
        <v>0.72399999999999998</v>
      </c>
      <c r="L43" s="4">
        <v>161000</v>
      </c>
      <c r="M43" s="2">
        <v>296.05</v>
      </c>
      <c r="N43" s="2">
        <v>2.41</v>
      </c>
      <c r="O43" s="2">
        <v>11.5</v>
      </c>
      <c r="P43" s="2">
        <v>10.5</v>
      </c>
      <c r="Q43" s="2">
        <v>31.53</v>
      </c>
    </row>
    <row r="44" spans="1:17" x14ac:dyDescent="0.25">
      <c r="A44" s="2">
        <v>43</v>
      </c>
      <c r="B44" s="2" t="s">
        <v>62</v>
      </c>
      <c r="C44" s="2" t="s">
        <v>17</v>
      </c>
      <c r="D44" s="3">
        <v>44309</v>
      </c>
      <c r="E44" s="2">
        <v>350.1</v>
      </c>
      <c r="F44" s="4">
        <v>724148</v>
      </c>
      <c r="G44" s="5">
        <v>0.26700000000000002</v>
      </c>
      <c r="H44" s="4">
        <v>722506</v>
      </c>
      <c r="I44" s="5">
        <v>0.33300000000000002</v>
      </c>
      <c r="J44" s="4">
        <v>302280</v>
      </c>
      <c r="K44" s="5">
        <v>0.66800000000000004</v>
      </c>
      <c r="L44" s="4">
        <v>2716940</v>
      </c>
      <c r="M44" s="7">
        <v>1430.09</v>
      </c>
      <c r="N44" s="2">
        <v>3.07</v>
      </c>
      <c r="O44" s="2">
        <v>18.100000000000001</v>
      </c>
      <c r="P44" s="2">
        <v>18</v>
      </c>
      <c r="Q44" s="2">
        <v>16.66</v>
      </c>
    </row>
    <row r="45" spans="1:17" x14ac:dyDescent="0.25">
      <c r="A45" s="2">
        <v>44</v>
      </c>
      <c r="B45" s="2" t="s">
        <v>63</v>
      </c>
      <c r="C45" s="2" t="s">
        <v>17</v>
      </c>
      <c r="D45" s="3">
        <v>44309</v>
      </c>
      <c r="E45" s="2">
        <v>140.11000000000001</v>
      </c>
      <c r="F45" s="4">
        <v>23406</v>
      </c>
      <c r="G45" s="5">
        <v>0.315</v>
      </c>
      <c r="H45" s="4">
        <v>23396</v>
      </c>
      <c r="I45" s="6">
        <v>0.372</v>
      </c>
      <c r="J45" s="4">
        <v>13832</v>
      </c>
      <c r="K45" s="6">
        <v>0.78500000000000003</v>
      </c>
      <c r="L45" s="4">
        <v>74228</v>
      </c>
      <c r="M45" s="2">
        <v>75.510000000000005</v>
      </c>
      <c r="N45" s="2">
        <v>2.39</v>
      </c>
      <c r="O45" s="2">
        <v>17.8</v>
      </c>
      <c r="P45" s="2">
        <v>11.8</v>
      </c>
      <c r="Q45" s="2">
        <v>23.75</v>
      </c>
    </row>
    <row r="46" spans="1:17" x14ac:dyDescent="0.25">
      <c r="A46" s="2">
        <v>45</v>
      </c>
      <c r="B46" s="2" t="s">
        <v>64</v>
      </c>
      <c r="C46" s="2" t="s">
        <v>17</v>
      </c>
      <c r="D46" s="3">
        <v>44309</v>
      </c>
      <c r="E46" s="2">
        <v>109.45</v>
      </c>
      <c r="F46" s="4">
        <v>26413</v>
      </c>
      <c r="G46" s="5">
        <v>0.29799999999999999</v>
      </c>
      <c r="H46" s="4">
        <v>26398</v>
      </c>
      <c r="I46" s="5">
        <v>0.371</v>
      </c>
      <c r="J46" s="4">
        <v>15695</v>
      </c>
      <c r="K46" s="5">
        <v>0.77600000000000002</v>
      </c>
      <c r="L46" s="4">
        <v>88625</v>
      </c>
      <c r="M46" s="2">
        <v>136.62</v>
      </c>
      <c r="N46" s="2">
        <v>2.5499999999999998</v>
      </c>
      <c r="O46" s="2">
        <v>11</v>
      </c>
      <c r="P46" s="2">
        <v>10.199999999999999</v>
      </c>
      <c r="Q46" s="2">
        <v>22.83</v>
      </c>
    </row>
    <row r="47" spans="1:17" x14ac:dyDescent="0.25">
      <c r="A47" s="2">
        <v>46</v>
      </c>
      <c r="B47" s="2" t="s">
        <v>65</v>
      </c>
      <c r="C47" s="2" t="s">
        <v>19</v>
      </c>
      <c r="D47" s="3">
        <v>44309</v>
      </c>
      <c r="E47" s="2">
        <v>83.99</v>
      </c>
      <c r="F47" s="4">
        <v>47437</v>
      </c>
      <c r="G47" s="6">
        <v>0.22500000000000001</v>
      </c>
      <c r="H47" s="4">
        <v>47407</v>
      </c>
      <c r="I47" s="5">
        <v>0.28899999999999998</v>
      </c>
      <c r="J47" s="4">
        <v>24679</v>
      </c>
      <c r="K47" s="5">
        <v>0.71799999999999997</v>
      </c>
      <c r="L47" s="4">
        <v>210738</v>
      </c>
      <c r="M47" s="2">
        <v>226.55</v>
      </c>
      <c r="N47" s="2">
        <v>2.52</v>
      </c>
      <c r="O47" s="2">
        <v>12.2</v>
      </c>
      <c r="P47" s="2">
        <v>11.5</v>
      </c>
      <c r="Q47" s="2">
        <v>16.309999999999999</v>
      </c>
    </row>
    <row r="48" spans="1:17" x14ac:dyDescent="0.25">
      <c r="A48" s="2">
        <v>47</v>
      </c>
      <c r="B48" s="2" t="s">
        <v>66</v>
      </c>
      <c r="C48" s="2" t="s">
        <v>17</v>
      </c>
      <c r="D48" s="3">
        <v>44309</v>
      </c>
      <c r="E48" s="2">
        <v>132.80000000000001</v>
      </c>
      <c r="F48" s="4">
        <v>7381</v>
      </c>
      <c r="G48" s="5">
        <v>0.17499999999999999</v>
      </c>
      <c r="H48" s="4">
        <v>7379</v>
      </c>
      <c r="I48" s="5">
        <v>0.222</v>
      </c>
      <c r="J48" s="4">
        <v>5457</v>
      </c>
      <c r="K48" s="6">
        <v>0.64300000000000002</v>
      </c>
      <c r="L48" s="4">
        <v>42168</v>
      </c>
      <c r="M48" s="2">
        <v>54.82</v>
      </c>
      <c r="N48" s="2">
        <v>2.73</v>
      </c>
      <c r="O48" s="2">
        <v>18.100000000000001</v>
      </c>
      <c r="P48" s="2">
        <v>22.7</v>
      </c>
      <c r="Q48" s="2">
        <v>20.12</v>
      </c>
    </row>
    <row r="49" spans="1:17" x14ac:dyDescent="0.25">
      <c r="A49" s="2">
        <v>48</v>
      </c>
      <c r="B49" s="2" t="s">
        <v>67</v>
      </c>
      <c r="C49" s="2" t="s">
        <v>17</v>
      </c>
      <c r="D49" s="3">
        <v>44309</v>
      </c>
      <c r="E49" s="2">
        <v>206.47</v>
      </c>
      <c r="F49" s="4">
        <v>321687</v>
      </c>
      <c r="G49" s="5">
        <v>0.23100000000000001</v>
      </c>
      <c r="H49" s="4">
        <v>320954</v>
      </c>
      <c r="I49" s="5">
        <v>0.29499999999999998</v>
      </c>
      <c r="J49" s="4">
        <v>118515</v>
      </c>
      <c r="K49" s="5">
        <v>0.69099999999999995</v>
      </c>
      <c r="L49" s="4">
        <v>1393452</v>
      </c>
      <c r="M49" s="7">
        <v>1545.08</v>
      </c>
      <c r="N49" s="2">
        <v>2.81</v>
      </c>
      <c r="O49" s="2">
        <v>14.5</v>
      </c>
      <c r="P49" s="2">
        <v>16.100000000000001</v>
      </c>
      <c r="Q49" s="2">
        <v>12.31</v>
      </c>
    </row>
    <row r="50" spans="1:17" x14ac:dyDescent="0.25">
      <c r="A50" s="2">
        <v>49</v>
      </c>
      <c r="B50" s="2" t="s">
        <v>68</v>
      </c>
      <c r="C50" s="2" t="s">
        <v>17</v>
      </c>
      <c r="D50" s="3">
        <v>44309</v>
      </c>
      <c r="E50" s="2">
        <v>288.49</v>
      </c>
      <c r="F50" s="4">
        <v>77858</v>
      </c>
      <c r="G50" s="5">
        <v>0.20699999999999999</v>
      </c>
      <c r="H50" s="4">
        <v>77775</v>
      </c>
      <c r="I50" s="5">
        <v>0.27300000000000002</v>
      </c>
      <c r="J50" s="4">
        <v>35393</v>
      </c>
      <c r="K50" s="5">
        <v>0.69699999999999995</v>
      </c>
      <c r="L50" s="4">
        <v>375751</v>
      </c>
      <c r="M50" s="2">
        <v>283.04000000000002</v>
      </c>
      <c r="N50" s="2">
        <v>3.4</v>
      </c>
      <c r="O50" s="2">
        <v>15.8</v>
      </c>
      <c r="P50" s="2">
        <v>16.3</v>
      </c>
      <c r="Q50" s="2">
        <v>13.52</v>
      </c>
    </row>
    <row r="51" spans="1:17" x14ac:dyDescent="0.25">
      <c r="A51" s="2">
        <v>50</v>
      </c>
      <c r="B51" s="2" t="s">
        <v>69</v>
      </c>
      <c r="C51" s="2" t="s">
        <v>17</v>
      </c>
      <c r="D51" s="3">
        <v>44309</v>
      </c>
      <c r="E51" s="2">
        <v>181.32</v>
      </c>
      <c r="F51" s="4">
        <v>406878</v>
      </c>
      <c r="G51" s="5">
        <v>0.27200000000000002</v>
      </c>
      <c r="H51" s="4">
        <v>406413</v>
      </c>
      <c r="I51" s="5">
        <v>0.33500000000000002</v>
      </c>
      <c r="J51" s="4">
        <v>248898</v>
      </c>
      <c r="K51" s="5">
        <v>0.68300000000000005</v>
      </c>
      <c r="L51" s="4">
        <v>1496770</v>
      </c>
      <c r="M51" s="2">
        <v>761.99</v>
      </c>
      <c r="N51" s="2">
        <v>2.6</v>
      </c>
      <c r="O51" s="2">
        <v>13.6</v>
      </c>
      <c r="P51" s="2">
        <v>12.8</v>
      </c>
      <c r="Q51" s="2">
        <v>24.36</v>
      </c>
    </row>
    <row r="52" spans="1:17" x14ac:dyDescent="0.25">
      <c r="A52" s="2">
        <v>51</v>
      </c>
      <c r="B52" s="2" t="s">
        <v>70</v>
      </c>
      <c r="C52" s="2" t="s">
        <v>17</v>
      </c>
      <c r="D52" s="3">
        <v>44309</v>
      </c>
      <c r="E52" s="2">
        <v>194.78</v>
      </c>
      <c r="F52" s="4">
        <v>129693</v>
      </c>
      <c r="G52" s="5">
        <v>0.23400000000000001</v>
      </c>
      <c r="H52" s="4">
        <v>129595</v>
      </c>
      <c r="I52" s="5">
        <v>0.29299999999999998</v>
      </c>
      <c r="J52" s="4">
        <v>76836</v>
      </c>
      <c r="K52" s="5">
        <v>0.61199999999999999</v>
      </c>
      <c r="L52" s="4">
        <v>553947</v>
      </c>
      <c r="M52" s="2">
        <v>741.98</v>
      </c>
      <c r="N52" s="2">
        <v>2.52</v>
      </c>
      <c r="O52" s="2">
        <v>11.8</v>
      </c>
      <c r="P52" s="2">
        <v>13.5</v>
      </c>
      <c r="Q52" s="2">
        <v>22.65</v>
      </c>
    </row>
    <row r="53" spans="1:17" x14ac:dyDescent="0.25">
      <c r="A53" s="2">
        <v>52</v>
      </c>
      <c r="B53" s="2" t="s">
        <v>71</v>
      </c>
      <c r="C53" s="2" t="s">
        <v>17</v>
      </c>
      <c r="D53" s="3">
        <v>44309</v>
      </c>
      <c r="E53" s="2">
        <v>156.51</v>
      </c>
      <c r="F53" s="4">
        <v>291325</v>
      </c>
      <c r="G53" s="5">
        <v>0.29899999999999999</v>
      </c>
      <c r="H53" s="4">
        <v>291121</v>
      </c>
      <c r="I53" s="5">
        <v>0.35499999999999998</v>
      </c>
      <c r="J53" s="4">
        <v>162821</v>
      </c>
      <c r="K53" s="5">
        <v>0.65800000000000003</v>
      </c>
      <c r="L53" s="4">
        <v>974996</v>
      </c>
      <c r="M53" s="7">
        <v>3561.28</v>
      </c>
      <c r="N53" s="2">
        <v>2.31</v>
      </c>
      <c r="O53" s="2">
        <v>11.5</v>
      </c>
      <c r="P53" s="2">
        <v>13</v>
      </c>
      <c r="Q53" s="2">
        <v>25.4</v>
      </c>
    </row>
    <row r="54" spans="1:17" x14ac:dyDescent="0.25">
      <c r="A54" s="2">
        <v>53</v>
      </c>
      <c r="B54" s="2" t="s">
        <v>72</v>
      </c>
      <c r="C54" s="2" t="s">
        <v>17</v>
      </c>
      <c r="D54" s="3">
        <v>44309</v>
      </c>
      <c r="E54" s="2">
        <v>221.03</v>
      </c>
      <c r="F54" s="4">
        <v>145390</v>
      </c>
      <c r="G54" s="5">
        <v>0.20100000000000001</v>
      </c>
      <c r="H54" s="4">
        <v>145290</v>
      </c>
      <c r="I54" s="5">
        <v>0.25700000000000001</v>
      </c>
      <c r="J54" s="4">
        <v>87704</v>
      </c>
      <c r="K54" s="5">
        <v>0.59199999999999997</v>
      </c>
      <c r="L54" s="4">
        <v>724777</v>
      </c>
      <c r="M54" s="2">
        <v>403.21</v>
      </c>
      <c r="N54" s="2">
        <v>2.84</v>
      </c>
      <c r="O54" s="2">
        <v>13.2</v>
      </c>
      <c r="P54" s="2">
        <v>16.600000000000001</v>
      </c>
      <c r="Q54" s="2">
        <v>20.440000000000001</v>
      </c>
    </row>
    <row r="55" spans="1:17" x14ac:dyDescent="0.25">
      <c r="A55" s="2">
        <v>54</v>
      </c>
      <c r="B55" s="2" t="s">
        <v>73</v>
      </c>
      <c r="C55" s="2" t="s">
        <v>17</v>
      </c>
      <c r="D55" s="3">
        <v>44309</v>
      </c>
      <c r="E55" s="2">
        <v>167.74</v>
      </c>
      <c r="F55" s="4">
        <v>12278</v>
      </c>
      <c r="G55" s="5">
        <v>0.16500000000000001</v>
      </c>
      <c r="H55" s="4">
        <v>12275</v>
      </c>
      <c r="I55" s="5">
        <v>0.20899999999999999</v>
      </c>
      <c r="J55" s="4">
        <v>8141</v>
      </c>
      <c r="K55" s="5">
        <v>0.46100000000000002</v>
      </c>
      <c r="L55" s="4">
        <v>74521</v>
      </c>
      <c r="M55" s="2">
        <v>102.38</v>
      </c>
      <c r="N55" s="2">
        <v>2.52</v>
      </c>
      <c r="O55" s="2">
        <v>16</v>
      </c>
      <c r="P55" s="2">
        <v>24.8</v>
      </c>
      <c r="Q55" s="2">
        <v>23.72</v>
      </c>
    </row>
    <row r="56" spans="1:17" x14ac:dyDescent="0.25">
      <c r="A56" s="2">
        <v>55</v>
      </c>
      <c r="B56" s="2" t="s">
        <v>74</v>
      </c>
      <c r="C56" s="2" t="s">
        <v>25</v>
      </c>
      <c r="D56" s="3">
        <v>44309</v>
      </c>
      <c r="E56" s="2">
        <v>34.72</v>
      </c>
      <c r="F56" s="4">
        <v>36949</v>
      </c>
      <c r="G56" s="5">
        <v>0.2</v>
      </c>
      <c r="H56" s="4">
        <v>36911</v>
      </c>
      <c r="I56" s="5">
        <v>0.25600000000000001</v>
      </c>
      <c r="J56" s="4">
        <v>20207</v>
      </c>
      <c r="K56" s="5">
        <v>0.67100000000000004</v>
      </c>
      <c r="L56" s="4">
        <v>184313</v>
      </c>
      <c r="M56" s="2">
        <v>182.06</v>
      </c>
      <c r="N56" s="2">
        <v>2.68</v>
      </c>
      <c r="O56" s="2">
        <v>10</v>
      </c>
      <c r="P56" s="2">
        <v>9.8000000000000007</v>
      </c>
      <c r="Q56" s="2">
        <v>16.34</v>
      </c>
    </row>
    <row r="57" spans="1:17" x14ac:dyDescent="0.25">
      <c r="A57" s="2">
        <v>56</v>
      </c>
      <c r="B57" s="2" t="s">
        <v>75</v>
      </c>
      <c r="C57" s="2" t="s">
        <v>17</v>
      </c>
      <c r="D57" s="3">
        <v>44309</v>
      </c>
      <c r="E57" s="2">
        <v>189.97</v>
      </c>
      <c r="F57" s="4">
        <v>153514</v>
      </c>
      <c r="G57" s="5">
        <v>0.35399999999999998</v>
      </c>
      <c r="H57" s="4">
        <v>153433</v>
      </c>
      <c r="I57" s="5">
        <v>0.41199999999999998</v>
      </c>
      <c r="J57" s="4">
        <v>115770</v>
      </c>
      <c r="K57" s="5">
        <v>0.71499999999999997</v>
      </c>
      <c r="L57" s="4">
        <v>433742</v>
      </c>
      <c r="M57" s="2">
        <v>780.13</v>
      </c>
      <c r="N57" s="2">
        <v>2.25</v>
      </c>
      <c r="O57" s="2">
        <v>11.4</v>
      </c>
      <c r="P57" s="2">
        <v>9.6999999999999993</v>
      </c>
      <c r="Q57" s="2">
        <v>37.340000000000003</v>
      </c>
    </row>
    <row r="58" spans="1:17" x14ac:dyDescent="0.25">
      <c r="A58" s="2">
        <v>57</v>
      </c>
      <c r="B58" s="2" t="s">
        <v>76</v>
      </c>
      <c r="C58" s="2" t="s">
        <v>17</v>
      </c>
      <c r="D58" s="3">
        <v>44309</v>
      </c>
      <c r="E58" s="2">
        <v>215.76</v>
      </c>
      <c r="F58" s="4">
        <v>105933</v>
      </c>
      <c r="G58" s="5">
        <v>0.22500000000000001</v>
      </c>
      <c r="H58" s="4">
        <v>105737</v>
      </c>
      <c r="I58" s="5">
        <v>0.28299999999999997</v>
      </c>
      <c r="J58" s="4">
        <v>48587</v>
      </c>
      <c r="K58" s="5">
        <v>0.64400000000000002</v>
      </c>
      <c r="L58" s="4">
        <v>471826</v>
      </c>
      <c r="M58" s="7">
        <v>1525.34</v>
      </c>
      <c r="N58" s="2">
        <v>2.7</v>
      </c>
      <c r="O58" s="2">
        <v>10.4</v>
      </c>
      <c r="P58" s="2">
        <v>11.4</v>
      </c>
      <c r="Q58" s="2">
        <v>15.98</v>
      </c>
    </row>
    <row r="59" spans="1:17" x14ac:dyDescent="0.25">
      <c r="A59" s="2">
        <v>58</v>
      </c>
      <c r="B59" s="2" t="s">
        <v>77</v>
      </c>
      <c r="C59" s="2" t="s">
        <v>17</v>
      </c>
      <c r="D59" s="3">
        <v>44309</v>
      </c>
      <c r="E59" s="2">
        <v>116.75</v>
      </c>
      <c r="F59" s="4">
        <v>89919</v>
      </c>
      <c r="G59" s="5">
        <v>0.34</v>
      </c>
      <c r="H59" s="4">
        <v>89752</v>
      </c>
      <c r="I59" s="5">
        <v>0.433</v>
      </c>
      <c r="J59" s="4">
        <v>45886</v>
      </c>
      <c r="K59" s="5">
        <v>0.84</v>
      </c>
      <c r="L59" s="4">
        <v>264672</v>
      </c>
      <c r="M59" s="2">
        <v>440.71</v>
      </c>
      <c r="N59" s="2">
        <v>2.7</v>
      </c>
      <c r="O59" s="2">
        <v>8.4</v>
      </c>
      <c r="P59" s="2">
        <v>8.4</v>
      </c>
      <c r="Q59" s="2">
        <v>20.65</v>
      </c>
    </row>
    <row r="60" spans="1:17" x14ac:dyDescent="0.25">
      <c r="A60" s="2">
        <v>59</v>
      </c>
      <c r="B60" s="2" t="s">
        <v>78</v>
      </c>
      <c r="C60" s="2" t="s">
        <v>17</v>
      </c>
      <c r="D60" s="3">
        <v>44309</v>
      </c>
      <c r="E60" s="2">
        <v>137.97999999999999</v>
      </c>
      <c r="F60" s="4">
        <v>74029</v>
      </c>
      <c r="G60" s="5">
        <v>0.22500000000000001</v>
      </c>
      <c r="H60" s="4">
        <v>74007</v>
      </c>
      <c r="I60" s="5">
        <v>0.28000000000000003</v>
      </c>
      <c r="J60" s="4">
        <v>49103</v>
      </c>
      <c r="K60" s="5">
        <v>0.60699999999999998</v>
      </c>
      <c r="L60" s="4">
        <v>328297</v>
      </c>
      <c r="M60" s="2">
        <v>574.29999999999995</v>
      </c>
      <c r="N60" s="2">
        <v>2.68</v>
      </c>
      <c r="O60" s="2">
        <v>14</v>
      </c>
      <c r="P60" s="2">
        <v>15</v>
      </c>
      <c r="Q60" s="2">
        <v>24.65</v>
      </c>
    </row>
    <row r="61" spans="1:17" x14ac:dyDescent="0.25">
      <c r="A61" s="2">
        <v>60</v>
      </c>
      <c r="B61" s="2" t="s">
        <v>79</v>
      </c>
      <c r="C61" s="2" t="s">
        <v>19</v>
      </c>
      <c r="D61" s="3">
        <v>44309</v>
      </c>
      <c r="E61" s="2">
        <v>76.27</v>
      </c>
      <c r="F61" s="4">
        <v>72444</v>
      </c>
      <c r="G61" s="5">
        <v>0.54700000000000004</v>
      </c>
      <c r="H61" s="4">
        <v>72434</v>
      </c>
      <c r="I61" s="5">
        <v>0.58899999999999997</v>
      </c>
      <c r="J61" s="4">
        <v>62244</v>
      </c>
      <c r="K61" s="5">
        <v>0.80800000000000005</v>
      </c>
      <c r="L61" s="4">
        <v>132420</v>
      </c>
      <c r="M61" s="2">
        <v>237.68</v>
      </c>
      <c r="N61" s="2">
        <v>2.04</v>
      </c>
      <c r="O61" s="2">
        <v>6.2</v>
      </c>
      <c r="P61" s="2">
        <v>8.8000000000000007</v>
      </c>
      <c r="Q61" s="2">
        <v>58.17</v>
      </c>
    </row>
    <row r="62" spans="1:17" x14ac:dyDescent="0.25">
      <c r="A62" s="2">
        <v>61</v>
      </c>
      <c r="B62" s="2" t="s">
        <v>80</v>
      </c>
      <c r="C62" s="2" t="s">
        <v>19</v>
      </c>
      <c r="D62" s="3">
        <v>44309</v>
      </c>
      <c r="E62" s="2">
        <v>63.04</v>
      </c>
      <c r="F62" s="4">
        <v>7633</v>
      </c>
      <c r="G62" s="5">
        <v>0.17199999999999999</v>
      </c>
      <c r="H62" s="4">
        <v>7631</v>
      </c>
      <c r="I62" s="5">
        <v>0.218</v>
      </c>
      <c r="J62" s="4">
        <v>5244</v>
      </c>
      <c r="K62" s="5">
        <v>0.54300000000000004</v>
      </c>
      <c r="L62" s="4">
        <v>44417</v>
      </c>
      <c r="M62" s="2">
        <v>64.510000000000005</v>
      </c>
      <c r="N62" s="2">
        <v>2.81</v>
      </c>
      <c r="O62" s="2">
        <v>13.9</v>
      </c>
      <c r="P62" s="2">
        <v>17.8</v>
      </c>
      <c r="Q62" s="2">
        <v>21.73</v>
      </c>
    </row>
    <row r="63" spans="1:17" x14ac:dyDescent="0.25">
      <c r="A63" s="2">
        <v>62</v>
      </c>
      <c r="B63" s="2" t="s">
        <v>81</v>
      </c>
      <c r="C63" s="2" t="s">
        <v>25</v>
      </c>
      <c r="D63" s="3">
        <v>44309</v>
      </c>
      <c r="E63" s="2" t="s">
        <v>26</v>
      </c>
      <c r="F63" s="4">
        <v>3446</v>
      </c>
      <c r="G63" s="5">
        <v>0.16</v>
      </c>
      <c r="H63" s="4">
        <v>3443</v>
      </c>
      <c r="I63" s="5">
        <v>0.19900000000000001</v>
      </c>
      <c r="J63" s="4">
        <v>2319</v>
      </c>
      <c r="K63" s="5">
        <v>0.51200000000000001</v>
      </c>
      <c r="L63" s="4">
        <v>21569</v>
      </c>
      <c r="M63" s="2">
        <v>20.67</v>
      </c>
      <c r="N63" s="2">
        <v>2.4700000000000002</v>
      </c>
      <c r="O63" s="2">
        <v>10.9</v>
      </c>
      <c r="P63" s="2">
        <v>19.8</v>
      </c>
      <c r="Q63" s="2">
        <v>20.98</v>
      </c>
    </row>
    <row r="64" spans="1:17" x14ac:dyDescent="0.25">
      <c r="A64" s="2">
        <v>63</v>
      </c>
      <c r="B64" s="2" t="s">
        <v>82</v>
      </c>
      <c r="C64" s="2" t="s">
        <v>19</v>
      </c>
      <c r="D64" s="3">
        <v>44309</v>
      </c>
      <c r="E64" s="2">
        <v>85.32</v>
      </c>
      <c r="F64" s="4">
        <v>1720</v>
      </c>
      <c r="G64" s="5">
        <v>0.113</v>
      </c>
      <c r="H64" s="4">
        <v>1720</v>
      </c>
      <c r="I64" s="6">
        <v>0.14099999999999999</v>
      </c>
      <c r="J64" s="4">
        <v>1114</v>
      </c>
      <c r="K64" s="6">
        <v>0.48099999999999998</v>
      </c>
      <c r="L64" s="4">
        <v>15237</v>
      </c>
      <c r="M64" s="2">
        <v>62.56</v>
      </c>
      <c r="N64" s="2">
        <v>2.5</v>
      </c>
      <c r="O64" s="2">
        <v>12.4</v>
      </c>
      <c r="P64" s="2">
        <v>22</v>
      </c>
      <c r="Q64" s="2">
        <v>15.21</v>
      </c>
    </row>
    <row r="65" spans="1:17" x14ac:dyDescent="0.25">
      <c r="A65" s="2">
        <v>64</v>
      </c>
      <c r="B65" s="2" t="s">
        <v>83</v>
      </c>
      <c r="C65" s="2" t="s">
        <v>17</v>
      </c>
      <c r="D65" s="3">
        <v>44309</v>
      </c>
      <c r="E65" s="2">
        <v>203.15</v>
      </c>
      <c r="F65" s="4">
        <v>138533</v>
      </c>
      <c r="G65" s="5">
        <v>0.25</v>
      </c>
      <c r="H65" s="4">
        <v>138479</v>
      </c>
      <c r="I65" s="5">
        <v>0.30299999999999999</v>
      </c>
      <c r="J65" s="4">
        <v>91265</v>
      </c>
      <c r="K65" s="5">
        <v>0.66200000000000003</v>
      </c>
      <c r="L65" s="4">
        <v>553284</v>
      </c>
      <c r="M65" s="2">
        <v>502.42</v>
      </c>
      <c r="N65" s="2">
        <v>2.4300000000000002</v>
      </c>
      <c r="O65" s="2">
        <v>12.5</v>
      </c>
      <c r="P65" s="2">
        <v>15.2</v>
      </c>
      <c r="Q65" s="2">
        <v>24.91</v>
      </c>
    </row>
    <row r="66" spans="1:17" x14ac:dyDescent="0.25">
      <c r="A66" s="2">
        <v>65</v>
      </c>
      <c r="B66" s="2" t="s">
        <v>84</v>
      </c>
      <c r="C66" s="2" t="s">
        <v>17</v>
      </c>
      <c r="D66" s="3">
        <v>44309</v>
      </c>
      <c r="E66" s="2">
        <v>154.12</v>
      </c>
      <c r="F66" s="4">
        <v>6793</v>
      </c>
      <c r="G66" s="5">
        <v>0.20100000000000001</v>
      </c>
      <c r="H66" s="4">
        <v>6788</v>
      </c>
      <c r="I66" s="5">
        <v>0.254</v>
      </c>
      <c r="J66" s="4">
        <v>3908</v>
      </c>
      <c r="K66" s="5">
        <v>0.72799999999999998</v>
      </c>
      <c r="L66" s="4">
        <v>33739</v>
      </c>
      <c r="M66" s="2">
        <v>55.64</v>
      </c>
      <c r="N66" s="2">
        <v>2.56</v>
      </c>
      <c r="O66" s="2">
        <v>9</v>
      </c>
      <c r="P66" s="2">
        <v>11.5</v>
      </c>
      <c r="Q66" s="2">
        <v>15.9</v>
      </c>
    </row>
    <row r="67" spans="1:17" x14ac:dyDescent="0.25">
      <c r="A67" s="2">
        <v>66</v>
      </c>
      <c r="B67" s="2" t="s">
        <v>85</v>
      </c>
      <c r="C67" s="2" t="s">
        <v>17</v>
      </c>
      <c r="D67" s="3">
        <v>44309</v>
      </c>
      <c r="E67" s="2">
        <v>116.1</v>
      </c>
      <c r="F67" s="4">
        <v>14995</v>
      </c>
      <c r="G67" s="5">
        <v>0.20200000000000001</v>
      </c>
      <c r="H67" s="4">
        <v>14989</v>
      </c>
      <c r="I67" s="5">
        <v>0.254</v>
      </c>
      <c r="J67" s="4">
        <v>9074</v>
      </c>
      <c r="K67" s="5">
        <v>0.60599999999999998</v>
      </c>
      <c r="L67" s="4">
        <v>74071</v>
      </c>
      <c r="M67" s="2">
        <v>71.38</v>
      </c>
      <c r="N67" s="2">
        <v>2.42</v>
      </c>
      <c r="O67" s="2">
        <v>13.5</v>
      </c>
      <c r="P67" s="2">
        <v>14.7</v>
      </c>
      <c r="Q67" s="2">
        <v>20.22</v>
      </c>
    </row>
    <row r="68" spans="1:17" x14ac:dyDescent="0.25">
      <c r="A68" s="1">
        <v>67</v>
      </c>
      <c r="B68" s="2" t="s">
        <v>86</v>
      </c>
      <c r="C68" s="2" t="s">
        <v>115</v>
      </c>
      <c r="D68" s="3">
        <v>44309</v>
      </c>
      <c r="E68" s="2" t="s">
        <v>26</v>
      </c>
      <c r="F68" s="4">
        <v>3358</v>
      </c>
      <c r="G68" s="5">
        <v>0.13200000000000001</v>
      </c>
      <c r="H68" s="4">
        <v>3355</v>
      </c>
      <c r="I68" s="5">
        <v>0.16400000000000001</v>
      </c>
      <c r="J68" s="4">
        <v>2055</v>
      </c>
      <c r="K68" s="5">
        <v>0.46899999999999997</v>
      </c>
      <c r="L68" s="4">
        <v>25473</v>
      </c>
      <c r="M68" s="2">
        <v>43.57</v>
      </c>
      <c r="N68" s="2">
        <v>2.57</v>
      </c>
      <c r="O68" s="2">
        <v>12.8</v>
      </c>
      <c r="P68" s="2">
        <v>22.4</v>
      </c>
      <c r="Q68" s="2">
        <v>17.2</v>
      </c>
    </row>
    <row r="69" spans="1:17" ht="36" x14ac:dyDescent="0.25">
      <c r="B69" s="8" t="s">
        <v>87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8BF59-D9FD-44EC-B324-5AE93EC9B300}">
  <dimension ref="A1:Q69"/>
  <sheetViews>
    <sheetView workbookViewId="0">
      <selection sqref="A1:Q68"/>
    </sheetView>
  </sheetViews>
  <sheetFormatPr defaultRowHeight="15.75" x14ac:dyDescent="0.25"/>
  <cols>
    <col min="1" max="1" width="2.375" bestFit="1" customWidth="1"/>
    <col min="2" max="2" width="9.5" bestFit="1" customWidth="1"/>
    <col min="3" max="3" width="15.875" bestFit="1" customWidth="1"/>
    <col min="4" max="4" width="10.125" bestFit="1" customWidth="1"/>
    <col min="5" max="5" width="10.25" bestFit="1" customWidth="1"/>
    <col min="6" max="6" width="8.125" bestFit="1" customWidth="1"/>
    <col min="7" max="7" width="13.875" bestFit="1" customWidth="1"/>
    <col min="8" max="8" width="9.875" bestFit="1" customWidth="1"/>
    <col min="9" max="9" width="15.625" bestFit="1" customWidth="1"/>
    <col min="10" max="10" width="9.875" bestFit="1" customWidth="1"/>
    <col min="11" max="11" width="15.625" bestFit="1" customWidth="1"/>
    <col min="12" max="12" width="12" bestFit="1" customWidth="1"/>
    <col min="13" max="13" width="13.75" bestFit="1" customWidth="1"/>
    <col min="14" max="14" width="9.5" bestFit="1" customWidth="1"/>
    <col min="15" max="15" width="13.375" bestFit="1" customWidth="1"/>
    <col min="16" max="16" width="9.125" bestFit="1" customWidth="1"/>
    <col min="17" max="17" width="6.125" bestFit="1" customWidth="1"/>
  </cols>
  <sheetData>
    <row r="1" spans="1:17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</row>
    <row r="2" spans="1:17" x14ac:dyDescent="0.25">
      <c r="A2" s="2">
        <v>1</v>
      </c>
      <c r="B2" s="2" t="s">
        <v>16</v>
      </c>
      <c r="C2" s="2" t="s">
        <v>17</v>
      </c>
      <c r="D2" s="3">
        <v>44310</v>
      </c>
      <c r="E2" s="2">
        <v>118.57</v>
      </c>
      <c r="F2" s="4">
        <v>79419</v>
      </c>
      <c r="G2" s="5">
        <v>0.29499999999999998</v>
      </c>
      <c r="H2" s="4">
        <v>79319</v>
      </c>
      <c r="I2" s="6">
        <v>0.35899999999999999</v>
      </c>
      <c r="J2" s="4">
        <v>31660</v>
      </c>
      <c r="K2" s="5">
        <v>0.80600000000000005</v>
      </c>
      <c r="L2" s="4">
        <v>269043</v>
      </c>
      <c r="M2" s="2">
        <v>307.29000000000002</v>
      </c>
      <c r="N2" s="2">
        <v>2.54</v>
      </c>
      <c r="O2" s="2">
        <v>9.1999999999999993</v>
      </c>
      <c r="P2" s="2">
        <v>21.8</v>
      </c>
      <c r="Q2" s="2">
        <v>14.6</v>
      </c>
    </row>
    <row r="3" spans="1:17" x14ac:dyDescent="0.25">
      <c r="A3" s="2">
        <v>2</v>
      </c>
      <c r="B3" s="2" t="s">
        <v>18</v>
      </c>
      <c r="C3" s="2" t="s">
        <v>17</v>
      </c>
      <c r="D3" s="3">
        <v>44310</v>
      </c>
      <c r="E3" s="2">
        <v>130.09</v>
      </c>
      <c r="F3" s="4">
        <v>3695</v>
      </c>
      <c r="G3" s="5">
        <v>0.126</v>
      </c>
      <c r="H3" s="4">
        <v>3695</v>
      </c>
      <c r="I3" s="5">
        <v>0.16600000000000001</v>
      </c>
      <c r="J3" s="4">
        <v>2217</v>
      </c>
      <c r="K3" s="5">
        <v>0.53800000000000003</v>
      </c>
      <c r="L3" s="4">
        <v>29210</v>
      </c>
      <c r="M3" s="2">
        <v>49.91</v>
      </c>
      <c r="N3" s="2">
        <v>2.92</v>
      </c>
      <c r="O3" s="2">
        <v>12.5</v>
      </c>
      <c r="P3" s="2">
        <v>14.6</v>
      </c>
      <c r="Q3" s="2">
        <v>14.09</v>
      </c>
    </row>
    <row r="4" spans="1:17" x14ac:dyDescent="0.25">
      <c r="A4" s="2">
        <v>3</v>
      </c>
      <c r="B4" s="2" t="s">
        <v>20</v>
      </c>
      <c r="C4" s="2" t="s">
        <v>19</v>
      </c>
      <c r="D4" s="3">
        <v>44310</v>
      </c>
      <c r="E4" s="2">
        <v>74.98</v>
      </c>
      <c r="F4" s="4">
        <v>38118</v>
      </c>
      <c r="G4" s="5">
        <v>0.218</v>
      </c>
      <c r="H4" s="4">
        <v>38095</v>
      </c>
      <c r="I4" s="5">
        <v>0.27500000000000002</v>
      </c>
      <c r="J4" s="4">
        <v>19527</v>
      </c>
      <c r="K4" s="6">
        <v>0.6</v>
      </c>
      <c r="L4" s="4">
        <v>174705</v>
      </c>
      <c r="M4" s="2">
        <v>230.3</v>
      </c>
      <c r="N4" s="2">
        <v>2.57</v>
      </c>
      <c r="O4" s="2">
        <v>14.2</v>
      </c>
      <c r="P4" s="2">
        <v>14.7</v>
      </c>
      <c r="Q4" s="2">
        <v>18.62</v>
      </c>
    </row>
    <row r="5" spans="1:17" x14ac:dyDescent="0.25">
      <c r="A5" s="2">
        <v>4</v>
      </c>
      <c r="B5" s="2" t="s">
        <v>21</v>
      </c>
      <c r="C5" s="2" t="s">
        <v>25</v>
      </c>
      <c r="D5" s="3">
        <v>44310</v>
      </c>
      <c r="E5" s="2">
        <v>49.64</v>
      </c>
      <c r="F5" s="4">
        <v>4126</v>
      </c>
      <c r="G5" s="5">
        <v>0.14599999999999999</v>
      </c>
      <c r="H5" s="4">
        <v>4126</v>
      </c>
      <c r="I5" s="5">
        <v>0.182</v>
      </c>
      <c r="J5" s="4">
        <v>2578</v>
      </c>
      <c r="K5" s="5">
        <v>0.50900000000000001</v>
      </c>
      <c r="L5" s="4">
        <v>28201</v>
      </c>
      <c r="M5" s="2">
        <v>95.93</v>
      </c>
      <c r="N5" s="2">
        <v>2.6</v>
      </c>
      <c r="O5" s="2">
        <v>12.4</v>
      </c>
      <c r="P5" s="2">
        <v>20.3</v>
      </c>
      <c r="Q5" s="2">
        <v>17.96</v>
      </c>
    </row>
    <row r="6" spans="1:17" x14ac:dyDescent="0.25">
      <c r="A6" s="2">
        <v>5</v>
      </c>
      <c r="B6" s="2" t="s">
        <v>22</v>
      </c>
      <c r="C6" s="2" t="s">
        <v>17</v>
      </c>
      <c r="D6" s="3">
        <v>44310</v>
      </c>
      <c r="E6" s="2">
        <v>146.36000000000001</v>
      </c>
      <c r="F6" s="4">
        <v>159277</v>
      </c>
      <c r="G6" s="5">
        <v>0.26500000000000001</v>
      </c>
      <c r="H6" s="4">
        <v>159190</v>
      </c>
      <c r="I6" s="5">
        <v>0.32300000000000001</v>
      </c>
      <c r="J6" s="4">
        <v>94403</v>
      </c>
      <c r="K6" s="5">
        <v>0.64800000000000002</v>
      </c>
      <c r="L6" s="4">
        <v>601942</v>
      </c>
      <c r="M6" s="2">
        <v>593.05999999999995</v>
      </c>
      <c r="N6" s="2">
        <v>2.4900000000000002</v>
      </c>
      <c r="O6" s="2">
        <v>10.8</v>
      </c>
      <c r="P6" s="2">
        <v>12.7</v>
      </c>
      <c r="Q6" s="2">
        <v>24.21</v>
      </c>
    </row>
    <row r="7" spans="1:17" x14ac:dyDescent="0.25">
      <c r="A7" s="2">
        <v>6</v>
      </c>
      <c r="B7" s="2" t="s">
        <v>23</v>
      </c>
      <c r="C7" s="2" t="s">
        <v>17</v>
      </c>
      <c r="D7" s="3">
        <v>44310</v>
      </c>
      <c r="E7" s="2">
        <v>255.84</v>
      </c>
      <c r="F7" s="4">
        <v>502977</v>
      </c>
      <c r="G7" s="5">
        <v>0.25800000000000001</v>
      </c>
      <c r="H7" s="4">
        <v>501894</v>
      </c>
      <c r="I7" s="5">
        <v>0.32500000000000001</v>
      </c>
      <c r="J7" s="4">
        <v>222382</v>
      </c>
      <c r="K7" s="5">
        <v>0.66500000000000004</v>
      </c>
      <c r="L7" s="4">
        <v>1952778</v>
      </c>
      <c r="M7" s="7">
        <v>1623.5</v>
      </c>
      <c r="N7" s="2">
        <v>2.77</v>
      </c>
      <c r="O7" s="2">
        <v>14.6</v>
      </c>
      <c r="P7" s="2">
        <v>13.5</v>
      </c>
      <c r="Q7" s="2">
        <v>17.13</v>
      </c>
    </row>
    <row r="8" spans="1:17" x14ac:dyDescent="0.25">
      <c r="A8" s="2">
        <v>7</v>
      </c>
      <c r="B8" s="2" t="s">
        <v>24</v>
      </c>
      <c r="C8" s="2" t="s">
        <v>19</v>
      </c>
      <c r="D8" s="3">
        <v>44310</v>
      </c>
      <c r="E8" s="2">
        <v>85.08</v>
      </c>
      <c r="F8" s="4">
        <v>2203</v>
      </c>
      <c r="G8" s="6">
        <v>0.156</v>
      </c>
      <c r="H8" s="4">
        <v>2203</v>
      </c>
      <c r="I8" s="5">
        <v>0.19500000000000001</v>
      </c>
      <c r="J8" s="4">
        <v>1415</v>
      </c>
      <c r="K8" s="5">
        <v>0.53</v>
      </c>
      <c r="L8" s="4">
        <v>14105</v>
      </c>
      <c r="M8" s="2">
        <v>24.86</v>
      </c>
      <c r="N8" s="2">
        <v>2.73</v>
      </c>
      <c r="O8" s="2">
        <v>18.3</v>
      </c>
      <c r="P8" s="2">
        <v>12.2</v>
      </c>
      <c r="Q8" s="2">
        <v>18.93</v>
      </c>
    </row>
    <row r="9" spans="1:17" x14ac:dyDescent="0.25">
      <c r="A9" s="2">
        <v>8</v>
      </c>
      <c r="B9" s="2" t="s">
        <v>27</v>
      </c>
      <c r="C9" s="2" t="s">
        <v>17</v>
      </c>
      <c r="D9" s="3">
        <v>44310</v>
      </c>
      <c r="E9" s="2">
        <v>124.93</v>
      </c>
      <c r="F9" s="4">
        <v>69749</v>
      </c>
      <c r="G9" s="5">
        <v>0.36899999999999999</v>
      </c>
      <c r="H9" s="4">
        <v>69720</v>
      </c>
      <c r="I9" s="5">
        <v>0.41899999999999998</v>
      </c>
      <c r="J9" s="4">
        <v>53243</v>
      </c>
      <c r="K9" s="5">
        <v>0.69099999999999995</v>
      </c>
      <c r="L9" s="4">
        <v>188910</v>
      </c>
      <c r="M9" s="2">
        <v>277.36</v>
      </c>
      <c r="N9" s="2">
        <v>2.2799999999999998</v>
      </c>
      <c r="O9" s="2">
        <v>11.3</v>
      </c>
      <c r="P9" s="2">
        <v>11.1</v>
      </c>
      <c r="Q9" s="2">
        <v>40.799999999999997</v>
      </c>
    </row>
    <row r="10" spans="1:17" x14ac:dyDescent="0.25">
      <c r="A10" s="2">
        <v>9</v>
      </c>
      <c r="B10" s="2" t="s">
        <v>28</v>
      </c>
      <c r="C10" s="2" t="s">
        <v>17</v>
      </c>
      <c r="D10" s="3">
        <v>44310</v>
      </c>
      <c r="E10" s="2">
        <v>120.94</v>
      </c>
      <c r="F10" s="4">
        <v>44272</v>
      </c>
      <c r="G10" s="5">
        <v>0.29599999999999999</v>
      </c>
      <c r="H10" s="4">
        <v>44262</v>
      </c>
      <c r="I10" s="5">
        <v>0.34699999999999998</v>
      </c>
      <c r="J10" s="4">
        <v>34339</v>
      </c>
      <c r="K10" s="5">
        <v>0.625</v>
      </c>
      <c r="L10" s="4">
        <v>149657</v>
      </c>
      <c r="M10" s="2">
        <v>257.18</v>
      </c>
      <c r="N10" s="2">
        <v>2.2400000000000002</v>
      </c>
      <c r="O10" s="2">
        <v>10.4</v>
      </c>
      <c r="P10" s="2">
        <v>16.7</v>
      </c>
      <c r="Q10" s="2">
        <v>36.71</v>
      </c>
    </row>
    <row r="11" spans="1:17" x14ac:dyDescent="0.25">
      <c r="A11" s="2">
        <v>10</v>
      </c>
      <c r="B11" s="2" t="s">
        <v>29</v>
      </c>
      <c r="C11" s="2" t="s">
        <v>17</v>
      </c>
      <c r="D11" s="3">
        <v>44310</v>
      </c>
      <c r="E11" s="2">
        <v>151.88</v>
      </c>
      <c r="F11" s="4">
        <v>42560</v>
      </c>
      <c r="G11" s="5">
        <v>0.19400000000000001</v>
      </c>
      <c r="H11" s="4">
        <v>42519</v>
      </c>
      <c r="I11" s="5">
        <v>0.252</v>
      </c>
      <c r="J11" s="4">
        <v>20953</v>
      </c>
      <c r="K11" s="5">
        <v>0.58499999999999996</v>
      </c>
      <c r="L11" s="4">
        <v>219252</v>
      </c>
      <c r="M11" s="2">
        <v>362.63</v>
      </c>
      <c r="N11" s="2">
        <v>2.81</v>
      </c>
      <c r="O11" s="2">
        <v>10.4</v>
      </c>
      <c r="P11" s="2">
        <v>10.6</v>
      </c>
      <c r="Q11" s="2">
        <v>16.350000000000001</v>
      </c>
    </row>
    <row r="12" spans="1:17" x14ac:dyDescent="0.25">
      <c r="A12" s="2">
        <v>11</v>
      </c>
      <c r="B12" s="2" t="s">
        <v>30</v>
      </c>
      <c r="C12" s="2" t="s">
        <v>17</v>
      </c>
      <c r="D12" s="3">
        <v>44310</v>
      </c>
      <c r="E12" s="2">
        <v>163.16</v>
      </c>
      <c r="F12" s="4">
        <v>128324</v>
      </c>
      <c r="G12" s="6">
        <v>0.33300000000000002</v>
      </c>
      <c r="H12" s="4">
        <v>128277</v>
      </c>
      <c r="I12" s="5">
        <v>0.40100000000000002</v>
      </c>
      <c r="J12" s="4">
        <v>93893</v>
      </c>
      <c r="K12" s="5">
        <v>0.74099999999999999</v>
      </c>
      <c r="L12" s="4">
        <v>384902</v>
      </c>
      <c r="M12" s="2">
        <v>192.75</v>
      </c>
      <c r="N12" s="2">
        <v>2.5499999999999998</v>
      </c>
      <c r="O12" s="2">
        <v>16.5</v>
      </c>
      <c r="P12" s="2">
        <v>12.3</v>
      </c>
      <c r="Q12" s="2">
        <v>32.92</v>
      </c>
    </row>
    <row r="13" spans="1:17" x14ac:dyDescent="0.25">
      <c r="A13" s="2">
        <v>12</v>
      </c>
      <c r="B13" s="2" t="s">
        <v>31</v>
      </c>
      <c r="C13" s="2" t="s">
        <v>19</v>
      </c>
      <c r="D13" s="3">
        <v>44310</v>
      </c>
      <c r="E13" s="2">
        <v>68.349999999999994</v>
      </c>
      <c r="F13" s="4">
        <v>13128</v>
      </c>
      <c r="G13" s="5">
        <v>0.183</v>
      </c>
      <c r="H13" s="4">
        <v>13124</v>
      </c>
      <c r="I13" s="5">
        <v>0.23300000000000001</v>
      </c>
      <c r="J13" s="4">
        <v>7872</v>
      </c>
      <c r="K13" s="5">
        <v>0.56999999999999995</v>
      </c>
      <c r="L13" s="4">
        <v>71686</v>
      </c>
      <c r="M13" s="2">
        <v>89.88</v>
      </c>
      <c r="N13" s="2">
        <v>2.57</v>
      </c>
      <c r="O13" s="2">
        <v>12.4</v>
      </c>
      <c r="P13" s="2">
        <v>17.399999999999999</v>
      </c>
      <c r="Q13" s="2">
        <v>19.260000000000002</v>
      </c>
    </row>
    <row r="14" spans="1:17" x14ac:dyDescent="0.25">
      <c r="A14" s="2">
        <v>13</v>
      </c>
      <c r="B14" s="2" t="s">
        <v>32</v>
      </c>
      <c r="C14" s="2" t="s">
        <v>17</v>
      </c>
      <c r="D14" s="3">
        <v>44310</v>
      </c>
      <c r="E14" s="2">
        <v>136.84</v>
      </c>
      <c r="F14" s="4">
        <v>6606</v>
      </c>
      <c r="G14" s="5">
        <v>0.17399999999999999</v>
      </c>
      <c r="H14" s="4">
        <v>6605</v>
      </c>
      <c r="I14" s="5">
        <v>0.214</v>
      </c>
      <c r="J14" s="4">
        <v>4745</v>
      </c>
      <c r="K14" s="5">
        <v>0.55400000000000005</v>
      </c>
      <c r="L14" s="4">
        <v>38001</v>
      </c>
      <c r="M14" s="2">
        <v>59.68</v>
      </c>
      <c r="N14" s="2">
        <v>2.74</v>
      </c>
      <c r="O14" s="2">
        <v>18.399999999999999</v>
      </c>
      <c r="P14" s="2">
        <v>28.5</v>
      </c>
      <c r="Q14" s="2">
        <v>22.52</v>
      </c>
    </row>
    <row r="15" spans="1:17" x14ac:dyDescent="0.25">
      <c r="A15" s="2">
        <v>14</v>
      </c>
      <c r="B15" s="2" t="s">
        <v>33</v>
      </c>
      <c r="C15" s="2" t="s">
        <v>25</v>
      </c>
      <c r="D15" s="3">
        <v>44310</v>
      </c>
      <c r="E15" s="2" t="s">
        <v>26</v>
      </c>
      <c r="F15" s="4">
        <v>2589</v>
      </c>
      <c r="G15" s="5">
        <v>0.154</v>
      </c>
      <c r="H15" s="4">
        <v>2588</v>
      </c>
      <c r="I15" s="5">
        <v>0.188</v>
      </c>
      <c r="J15" s="4">
        <v>1901</v>
      </c>
      <c r="K15" s="5">
        <v>0.47699999999999998</v>
      </c>
      <c r="L15" s="4">
        <v>16826</v>
      </c>
      <c r="M15" s="2">
        <v>23.86</v>
      </c>
      <c r="N15" s="2">
        <v>2.2799999999999998</v>
      </c>
      <c r="O15" s="2">
        <v>17.2</v>
      </c>
      <c r="P15" s="2">
        <v>23.1</v>
      </c>
      <c r="Q15" s="2">
        <v>23.68</v>
      </c>
    </row>
    <row r="16" spans="1:17" x14ac:dyDescent="0.25">
      <c r="A16" s="2">
        <v>15</v>
      </c>
      <c r="B16" s="2" t="s">
        <v>34</v>
      </c>
      <c r="C16" s="2" t="s">
        <v>17</v>
      </c>
      <c r="D16" s="3">
        <v>44310</v>
      </c>
      <c r="E16" s="2">
        <v>119.13</v>
      </c>
      <c r="F16" s="4">
        <v>244655</v>
      </c>
      <c r="G16" s="5">
        <v>0.255</v>
      </c>
      <c r="H16" s="4">
        <v>244335</v>
      </c>
      <c r="I16" s="5">
        <v>0.32900000000000001</v>
      </c>
      <c r="J16" s="4">
        <v>98905</v>
      </c>
      <c r="K16" s="5">
        <v>0.71399999999999997</v>
      </c>
      <c r="L16" s="4">
        <v>957755</v>
      </c>
      <c r="M16" s="7">
        <v>1255.8599999999999</v>
      </c>
      <c r="N16" s="2">
        <v>2.5499999999999998</v>
      </c>
      <c r="O16" s="2">
        <v>12</v>
      </c>
      <c r="P16" s="2">
        <v>15.5</v>
      </c>
      <c r="Q16" s="2">
        <v>14.47</v>
      </c>
    </row>
    <row r="17" spans="1:17" x14ac:dyDescent="0.25">
      <c r="A17" s="2">
        <v>16</v>
      </c>
      <c r="B17" s="2" t="s">
        <v>35</v>
      </c>
      <c r="C17" s="2" t="s">
        <v>19</v>
      </c>
      <c r="D17" s="3">
        <v>44310</v>
      </c>
      <c r="E17" s="2">
        <v>76.650000000000006</v>
      </c>
      <c r="F17" s="4">
        <v>75418</v>
      </c>
      <c r="G17" s="5">
        <v>0.23699999999999999</v>
      </c>
      <c r="H17" s="4">
        <v>75379</v>
      </c>
      <c r="I17" s="5">
        <v>0.29899999999999999</v>
      </c>
      <c r="J17" s="4">
        <v>36386</v>
      </c>
      <c r="K17" s="5">
        <v>0.66700000000000004</v>
      </c>
      <c r="L17" s="4">
        <v>318316</v>
      </c>
      <c r="M17" s="2">
        <v>484.52</v>
      </c>
      <c r="N17" s="2">
        <v>2.4700000000000002</v>
      </c>
      <c r="O17" s="2">
        <v>10.199999999999999</v>
      </c>
      <c r="P17" s="2">
        <v>13.9</v>
      </c>
      <c r="Q17" s="2">
        <v>17.14</v>
      </c>
    </row>
    <row r="18" spans="1:17" x14ac:dyDescent="0.25">
      <c r="A18" s="2">
        <v>17</v>
      </c>
      <c r="B18" s="2" t="s">
        <v>36</v>
      </c>
      <c r="C18" s="2" t="s">
        <v>17</v>
      </c>
      <c r="D18" s="3">
        <v>44310</v>
      </c>
      <c r="E18" s="2">
        <v>112.96</v>
      </c>
      <c r="F18" s="4">
        <v>35728</v>
      </c>
      <c r="G18" s="5">
        <v>0.31</v>
      </c>
      <c r="H18" s="4">
        <v>35717</v>
      </c>
      <c r="I18" s="5">
        <v>0.372</v>
      </c>
      <c r="J18" s="4">
        <v>25217</v>
      </c>
      <c r="K18" s="5">
        <v>0.70299999999999996</v>
      </c>
      <c r="L18" s="4">
        <v>115081</v>
      </c>
      <c r="M18" s="2">
        <v>237.21</v>
      </c>
      <c r="N18" s="2">
        <v>2.62</v>
      </c>
      <c r="O18" s="2">
        <v>12.7</v>
      </c>
      <c r="P18" s="2">
        <v>11.9</v>
      </c>
      <c r="Q18" s="2">
        <v>31.19</v>
      </c>
    </row>
    <row r="19" spans="1:17" x14ac:dyDescent="0.25">
      <c r="A19" s="2">
        <v>18</v>
      </c>
      <c r="B19" s="2" t="s">
        <v>37</v>
      </c>
      <c r="C19" s="2" t="s">
        <v>25</v>
      </c>
      <c r="D19" s="3">
        <v>44310</v>
      </c>
      <c r="E19" s="2" t="s">
        <v>26</v>
      </c>
      <c r="F19" s="4">
        <v>3068</v>
      </c>
      <c r="G19" s="5">
        <v>0.253</v>
      </c>
      <c r="H19" s="4">
        <v>3068</v>
      </c>
      <c r="I19" s="5">
        <v>0.29899999999999999</v>
      </c>
      <c r="J19" s="4">
        <v>2079</v>
      </c>
      <c r="K19" s="5">
        <v>0.71099999999999997</v>
      </c>
      <c r="L19" s="4">
        <v>12125</v>
      </c>
      <c r="M19" s="2">
        <v>22.24</v>
      </c>
      <c r="N19" s="2">
        <v>2.35</v>
      </c>
      <c r="O19" s="2">
        <v>18.3</v>
      </c>
      <c r="P19" s="2">
        <v>20.7</v>
      </c>
      <c r="Q19" s="2">
        <v>24.13</v>
      </c>
    </row>
    <row r="20" spans="1:17" x14ac:dyDescent="0.25">
      <c r="A20" s="2">
        <v>19</v>
      </c>
      <c r="B20" s="2" t="s">
        <v>38</v>
      </c>
      <c r="C20" s="2" t="s">
        <v>25</v>
      </c>
      <c r="D20" s="3">
        <v>44310</v>
      </c>
      <c r="E20" s="2">
        <v>45.99</v>
      </c>
      <c r="F20" s="4">
        <v>12136</v>
      </c>
      <c r="G20" s="5">
        <v>0.26600000000000001</v>
      </c>
      <c r="H20" s="4">
        <v>12128</v>
      </c>
      <c r="I20" s="5">
        <v>0.33900000000000002</v>
      </c>
      <c r="J20" s="4">
        <v>6088</v>
      </c>
      <c r="K20" s="5">
        <v>0.71299999999999997</v>
      </c>
      <c r="L20" s="4">
        <v>45660</v>
      </c>
      <c r="M20" s="2">
        <v>88.44</v>
      </c>
      <c r="N20" s="2">
        <v>2.4700000000000002</v>
      </c>
      <c r="O20" s="2">
        <v>14.9</v>
      </c>
      <c r="P20" s="2">
        <v>24.6</v>
      </c>
      <c r="Q20" s="2">
        <v>18.7</v>
      </c>
    </row>
    <row r="21" spans="1:17" x14ac:dyDescent="0.25">
      <c r="A21" s="2">
        <v>20</v>
      </c>
      <c r="B21" s="2" t="s">
        <v>39</v>
      </c>
      <c r="C21" s="2" t="s">
        <v>17</v>
      </c>
      <c r="D21" s="3">
        <v>44310</v>
      </c>
      <c r="E21" s="2">
        <v>156.07</v>
      </c>
      <c r="F21" s="4">
        <v>2910</v>
      </c>
      <c r="G21" s="5">
        <v>0.157</v>
      </c>
      <c r="H21" s="4">
        <v>2908</v>
      </c>
      <c r="I21" s="6">
        <v>0.19500000000000001</v>
      </c>
      <c r="J21" s="4">
        <v>1876</v>
      </c>
      <c r="K21" s="5">
        <v>0.48899999999999999</v>
      </c>
      <c r="L21" s="4">
        <v>18582</v>
      </c>
      <c r="M21" s="2">
        <v>53.14</v>
      </c>
      <c r="N21" s="2">
        <v>2.5</v>
      </c>
      <c r="O21" s="2">
        <v>18.100000000000001</v>
      </c>
      <c r="P21" s="2">
        <v>17.899999999999999</v>
      </c>
      <c r="Q21" s="2">
        <v>20.65</v>
      </c>
    </row>
    <row r="22" spans="1:17" x14ac:dyDescent="0.25">
      <c r="A22" s="2">
        <v>21</v>
      </c>
      <c r="B22" s="2" t="s">
        <v>40</v>
      </c>
      <c r="C22" s="2" t="s">
        <v>19</v>
      </c>
      <c r="D22" s="3">
        <v>44310</v>
      </c>
      <c r="E22" s="2">
        <v>86.89</v>
      </c>
      <c r="F22" s="4">
        <v>1961</v>
      </c>
      <c r="G22" s="6">
        <v>0.14199999999999999</v>
      </c>
      <c r="H22" s="4">
        <v>1961</v>
      </c>
      <c r="I22" s="5">
        <v>0.16600000000000001</v>
      </c>
      <c r="J22" s="4">
        <v>1366</v>
      </c>
      <c r="K22" s="5">
        <v>0.35899999999999999</v>
      </c>
      <c r="L22" s="4">
        <v>13811</v>
      </c>
      <c r="M22" s="2">
        <v>17.12</v>
      </c>
      <c r="N22" s="2">
        <v>2.71</v>
      </c>
      <c r="O22" s="2">
        <v>19.899999999999999</v>
      </c>
      <c r="P22" s="2">
        <v>17</v>
      </c>
      <c r="Q22" s="2">
        <v>27.57</v>
      </c>
    </row>
    <row r="23" spans="1:17" x14ac:dyDescent="0.25">
      <c r="A23" s="2">
        <v>22</v>
      </c>
      <c r="B23" s="2" t="s">
        <v>41</v>
      </c>
      <c r="C23" s="2" t="s">
        <v>19</v>
      </c>
      <c r="D23" s="3">
        <v>44310</v>
      </c>
      <c r="E23" s="2" t="s">
        <v>26</v>
      </c>
      <c r="F23" s="4">
        <v>3330</v>
      </c>
      <c r="G23" s="6">
        <v>0.24399999999999999</v>
      </c>
      <c r="H23" s="4">
        <v>3330</v>
      </c>
      <c r="I23" s="5">
        <v>0.29899999999999999</v>
      </c>
      <c r="J23" s="4">
        <v>2333</v>
      </c>
      <c r="K23" s="5">
        <v>0.64600000000000002</v>
      </c>
      <c r="L23" s="4">
        <v>13639</v>
      </c>
      <c r="M23" s="2">
        <v>24.64</v>
      </c>
      <c r="N23" s="2">
        <v>2.5499999999999998</v>
      </c>
      <c r="O23" s="2">
        <v>11.4</v>
      </c>
      <c r="P23" s="2">
        <v>13.9</v>
      </c>
      <c r="Q23" s="2">
        <v>26.5</v>
      </c>
    </row>
    <row r="24" spans="1:17" x14ac:dyDescent="0.25">
      <c r="A24" s="2">
        <v>23</v>
      </c>
      <c r="B24" s="2" t="s">
        <v>42</v>
      </c>
      <c r="C24" s="2" t="s">
        <v>19</v>
      </c>
      <c r="D24" s="3">
        <v>44310</v>
      </c>
      <c r="E24" s="2">
        <v>97.03</v>
      </c>
      <c r="F24" s="4">
        <v>2337</v>
      </c>
      <c r="G24" s="5">
        <v>0.16200000000000001</v>
      </c>
      <c r="H24" s="4">
        <v>2337</v>
      </c>
      <c r="I24" s="5">
        <v>0.2</v>
      </c>
      <c r="J24" s="4">
        <v>1513</v>
      </c>
      <c r="K24" s="5">
        <v>0.56799999999999995</v>
      </c>
      <c r="L24" s="4">
        <v>14428</v>
      </c>
      <c r="M24" s="2">
        <v>28.08</v>
      </c>
      <c r="N24" s="2">
        <v>2.44</v>
      </c>
      <c r="O24" s="2">
        <v>14.3</v>
      </c>
      <c r="P24" s="2">
        <v>29.5</v>
      </c>
      <c r="Q24" s="2">
        <v>18.46</v>
      </c>
    </row>
    <row r="25" spans="1:17" x14ac:dyDescent="0.25">
      <c r="A25" s="2">
        <v>24</v>
      </c>
      <c r="B25" s="2" t="s">
        <v>43</v>
      </c>
      <c r="C25" s="2" t="s">
        <v>17</v>
      </c>
      <c r="D25" s="3">
        <v>44310</v>
      </c>
      <c r="E25" s="2">
        <v>211.6</v>
      </c>
      <c r="F25" s="4">
        <v>3531</v>
      </c>
      <c r="G25" s="5">
        <v>0.13100000000000001</v>
      </c>
      <c r="H25" s="4">
        <v>3530</v>
      </c>
      <c r="I25" s="5">
        <v>0.17599999999999999</v>
      </c>
      <c r="J25" s="4">
        <v>2441</v>
      </c>
      <c r="K25" s="5">
        <v>0.52</v>
      </c>
      <c r="L25" s="4">
        <v>26937</v>
      </c>
      <c r="M25" s="2">
        <v>42.25</v>
      </c>
      <c r="N25" s="2">
        <v>3.22</v>
      </c>
      <c r="O25" s="2">
        <v>12.2</v>
      </c>
      <c r="P25" s="2">
        <v>26.7</v>
      </c>
      <c r="Q25" s="2">
        <v>17.43</v>
      </c>
    </row>
    <row r="26" spans="1:17" x14ac:dyDescent="0.25">
      <c r="A26" s="2">
        <v>25</v>
      </c>
      <c r="B26" s="2" t="s">
        <v>44</v>
      </c>
      <c r="C26" s="2" t="s">
        <v>17</v>
      </c>
      <c r="D26" s="3">
        <v>44310</v>
      </c>
      <c r="E26" s="2">
        <v>118.99</v>
      </c>
      <c r="F26" s="4">
        <v>6926</v>
      </c>
      <c r="G26" s="5">
        <v>0.16500000000000001</v>
      </c>
      <c r="H26" s="4">
        <v>6923</v>
      </c>
      <c r="I26" s="5">
        <v>0.22500000000000001</v>
      </c>
      <c r="J26" s="4">
        <v>3681</v>
      </c>
      <c r="K26" s="5">
        <v>0.63700000000000001</v>
      </c>
      <c r="L26" s="4">
        <v>42022</v>
      </c>
      <c r="M26" s="2">
        <v>36.340000000000003</v>
      </c>
      <c r="N26" s="2">
        <v>3.17</v>
      </c>
      <c r="O26" s="2">
        <v>26.2</v>
      </c>
      <c r="P26" s="2">
        <v>26.8</v>
      </c>
      <c r="Q26" s="2">
        <v>13.75</v>
      </c>
    </row>
    <row r="27" spans="1:17" x14ac:dyDescent="0.25">
      <c r="A27" s="2">
        <v>26</v>
      </c>
      <c r="B27" s="2" t="s">
        <v>45</v>
      </c>
      <c r="C27" s="2" t="s">
        <v>17</v>
      </c>
      <c r="D27" s="3">
        <v>44310</v>
      </c>
      <c r="E27" s="2">
        <v>184.1</v>
      </c>
      <c r="F27" s="4">
        <v>47725</v>
      </c>
      <c r="G27" s="5">
        <v>0.246</v>
      </c>
      <c r="H27" s="4">
        <v>47703</v>
      </c>
      <c r="I27" s="5">
        <v>0.30099999999999999</v>
      </c>
      <c r="J27" s="4">
        <v>32284</v>
      </c>
      <c r="K27" s="5">
        <v>0.60499999999999998</v>
      </c>
      <c r="L27" s="4">
        <v>193920</v>
      </c>
      <c r="M27" s="2">
        <v>410.01</v>
      </c>
      <c r="N27" s="2">
        <v>2.46</v>
      </c>
      <c r="O27" s="2">
        <v>12.6</v>
      </c>
      <c r="P27" s="2">
        <v>14.3</v>
      </c>
      <c r="Q27" s="2">
        <v>27.51</v>
      </c>
    </row>
    <row r="28" spans="1:17" x14ac:dyDescent="0.25">
      <c r="A28" s="2">
        <v>27</v>
      </c>
      <c r="B28" s="2" t="s">
        <v>46</v>
      </c>
      <c r="C28" s="2" t="s">
        <v>17</v>
      </c>
      <c r="D28" s="3">
        <v>44310</v>
      </c>
      <c r="E28" s="2">
        <v>202.41</v>
      </c>
      <c r="F28" s="4">
        <v>26420</v>
      </c>
      <c r="G28" s="5">
        <v>0.249</v>
      </c>
      <c r="H28" s="4">
        <v>26417</v>
      </c>
      <c r="I28" s="5">
        <v>0.29899999999999999</v>
      </c>
      <c r="J28" s="4">
        <v>20480</v>
      </c>
      <c r="K28" s="5">
        <v>0.53500000000000003</v>
      </c>
      <c r="L28" s="4">
        <v>106221</v>
      </c>
      <c r="M28" s="2">
        <v>104.38</v>
      </c>
      <c r="N28" s="2">
        <v>2.44</v>
      </c>
      <c r="O28" s="2">
        <v>12.7</v>
      </c>
      <c r="P28" s="2">
        <v>19.2</v>
      </c>
      <c r="Q28" s="2">
        <v>36.049999999999997</v>
      </c>
    </row>
    <row r="29" spans="1:17" x14ac:dyDescent="0.25">
      <c r="A29" s="2">
        <v>28</v>
      </c>
      <c r="B29" s="2" t="s">
        <v>47</v>
      </c>
      <c r="C29" s="2" t="s">
        <v>17</v>
      </c>
      <c r="D29" s="3">
        <v>44310</v>
      </c>
      <c r="E29" s="2">
        <v>226.09</v>
      </c>
      <c r="F29" s="4">
        <v>341760</v>
      </c>
      <c r="G29" s="5">
        <v>0.23200000000000001</v>
      </c>
      <c r="H29" s="4">
        <v>341366</v>
      </c>
      <c r="I29" s="5">
        <v>0.29799999999999999</v>
      </c>
      <c r="J29" s="4">
        <v>131388</v>
      </c>
      <c r="K29" s="5">
        <v>0.61399999999999999</v>
      </c>
      <c r="L29" s="4">
        <v>1471968</v>
      </c>
      <c r="M29" s="7">
        <v>1440.39</v>
      </c>
      <c r="N29" s="2">
        <v>2.63</v>
      </c>
      <c r="O29" s="2">
        <v>13</v>
      </c>
      <c r="P29" s="2">
        <v>15.3</v>
      </c>
      <c r="Q29" s="2">
        <v>14.54</v>
      </c>
    </row>
    <row r="30" spans="1:17" x14ac:dyDescent="0.25">
      <c r="A30" s="2">
        <v>29</v>
      </c>
      <c r="B30" s="2" t="s">
        <v>48</v>
      </c>
      <c r="C30" s="2" t="s">
        <v>25</v>
      </c>
      <c r="D30" s="3">
        <v>44310</v>
      </c>
      <c r="E30" s="2" t="s">
        <v>26</v>
      </c>
      <c r="F30" s="4">
        <v>2652</v>
      </c>
      <c r="G30" s="5">
        <v>0.13500000000000001</v>
      </c>
      <c r="H30" s="4">
        <v>2650</v>
      </c>
      <c r="I30" s="5">
        <v>0.17</v>
      </c>
      <c r="J30" s="4">
        <v>1737</v>
      </c>
      <c r="K30" s="5">
        <v>0.443</v>
      </c>
      <c r="L30" s="4">
        <v>19617</v>
      </c>
      <c r="M30" s="2">
        <v>40.97</v>
      </c>
      <c r="N30" s="2">
        <v>2.5099999999999998</v>
      </c>
      <c r="O30" s="2">
        <v>18.899999999999999</v>
      </c>
      <c r="P30" s="2">
        <v>25.6</v>
      </c>
      <c r="Q30" s="2">
        <v>19.989999999999998</v>
      </c>
    </row>
    <row r="31" spans="1:17" x14ac:dyDescent="0.25">
      <c r="A31" s="2">
        <v>30</v>
      </c>
      <c r="B31" s="2" t="s">
        <v>49</v>
      </c>
      <c r="C31" s="2" t="s">
        <v>17</v>
      </c>
      <c r="D31" s="3">
        <v>44310</v>
      </c>
      <c r="E31" s="2">
        <v>111.3</v>
      </c>
      <c r="F31" s="4">
        <v>50932</v>
      </c>
      <c r="G31" s="5">
        <v>0.318</v>
      </c>
      <c r="H31" s="4">
        <v>50916</v>
      </c>
      <c r="I31" s="5">
        <v>0.377</v>
      </c>
      <c r="J31" s="4">
        <v>37034</v>
      </c>
      <c r="K31" s="5">
        <v>0.68400000000000005</v>
      </c>
      <c r="L31" s="4">
        <v>159923</v>
      </c>
      <c r="M31" s="2">
        <v>318.08</v>
      </c>
      <c r="N31" s="2">
        <v>2.6</v>
      </c>
      <c r="O31" s="2">
        <v>12.1</v>
      </c>
      <c r="P31" s="2">
        <v>12.2</v>
      </c>
      <c r="Q31" s="2">
        <v>33.85</v>
      </c>
    </row>
    <row r="32" spans="1:17" x14ac:dyDescent="0.25">
      <c r="A32" s="2">
        <v>31</v>
      </c>
      <c r="B32" s="2" t="s">
        <v>50</v>
      </c>
      <c r="C32" s="2" t="s">
        <v>19</v>
      </c>
      <c r="D32" s="3">
        <v>44310</v>
      </c>
      <c r="E32" s="2">
        <v>56.02</v>
      </c>
      <c r="F32" s="4">
        <v>8996</v>
      </c>
      <c r="G32" s="5">
        <v>0.19400000000000001</v>
      </c>
      <c r="H32" s="4">
        <v>8995</v>
      </c>
      <c r="I32" s="5">
        <v>0.23899999999999999</v>
      </c>
      <c r="J32" s="4">
        <v>5278</v>
      </c>
      <c r="K32" s="5">
        <v>0.55200000000000005</v>
      </c>
      <c r="L32" s="4">
        <v>46414</v>
      </c>
      <c r="M32" s="2">
        <v>50.55</v>
      </c>
      <c r="N32" s="2">
        <v>2.4</v>
      </c>
      <c r="O32" s="2">
        <v>11.3</v>
      </c>
      <c r="P32" s="2">
        <v>20.6</v>
      </c>
      <c r="Q32" s="2">
        <v>20.62</v>
      </c>
    </row>
    <row r="33" spans="1:17" x14ac:dyDescent="0.25">
      <c r="A33" s="2">
        <v>32</v>
      </c>
      <c r="B33" s="2" t="s">
        <v>51</v>
      </c>
      <c r="C33" s="2" t="s">
        <v>17</v>
      </c>
      <c r="D33" s="3">
        <v>44310</v>
      </c>
      <c r="E33" s="2">
        <v>154.43</v>
      </c>
      <c r="F33" s="4">
        <v>4767</v>
      </c>
      <c r="G33" s="5">
        <v>0.33500000000000002</v>
      </c>
      <c r="H33" s="4">
        <v>4766</v>
      </c>
      <c r="I33" s="5">
        <v>0.40100000000000002</v>
      </c>
      <c r="J33" s="4">
        <v>3224</v>
      </c>
      <c r="K33" s="5">
        <v>0.91800000000000004</v>
      </c>
      <c r="L33" s="4">
        <v>14246</v>
      </c>
      <c r="M33" s="2">
        <v>23.82</v>
      </c>
      <c r="N33" s="2">
        <v>2.04</v>
      </c>
      <c r="O33" s="2">
        <v>6.4</v>
      </c>
      <c r="P33" s="2">
        <v>14.1</v>
      </c>
      <c r="Q33" s="2">
        <v>24.65</v>
      </c>
    </row>
    <row r="34" spans="1:17" x14ac:dyDescent="0.25">
      <c r="A34" s="2">
        <v>33</v>
      </c>
      <c r="B34" s="2" t="s">
        <v>52</v>
      </c>
      <c r="C34" s="2" t="s">
        <v>25</v>
      </c>
      <c r="D34" s="3">
        <v>44310</v>
      </c>
      <c r="E34" s="2" t="s">
        <v>26</v>
      </c>
      <c r="F34" s="4">
        <v>1358</v>
      </c>
      <c r="G34" s="6">
        <v>0.161</v>
      </c>
      <c r="H34" s="4">
        <v>1358</v>
      </c>
      <c r="I34" s="6">
        <v>0.20100000000000001</v>
      </c>
      <c r="J34" s="4">
        <v>1065</v>
      </c>
      <c r="K34" s="5">
        <v>0.73199999999999998</v>
      </c>
      <c r="L34" s="4">
        <v>8422</v>
      </c>
      <c r="M34" s="2">
        <v>15.5</v>
      </c>
      <c r="N34" s="2">
        <v>3.43</v>
      </c>
      <c r="O34" s="2">
        <v>17.600000000000001</v>
      </c>
      <c r="P34" s="2">
        <v>20.100000000000001</v>
      </c>
      <c r="Q34" s="2">
        <v>17.28</v>
      </c>
    </row>
    <row r="35" spans="1:17" x14ac:dyDescent="0.25">
      <c r="A35" s="2">
        <v>34</v>
      </c>
      <c r="B35" s="2" t="s">
        <v>53</v>
      </c>
      <c r="C35" s="2" t="s">
        <v>17</v>
      </c>
      <c r="D35" s="3">
        <v>44310</v>
      </c>
      <c r="E35" s="2">
        <v>169.7</v>
      </c>
      <c r="F35" s="4">
        <v>117275</v>
      </c>
      <c r="G35" s="5">
        <v>0.31900000000000001</v>
      </c>
      <c r="H35" s="4">
        <v>117171</v>
      </c>
      <c r="I35" s="5">
        <v>0.39400000000000002</v>
      </c>
      <c r="J35" s="4">
        <v>77241</v>
      </c>
      <c r="K35" s="5">
        <v>0.77700000000000002</v>
      </c>
      <c r="L35" s="4">
        <v>367118</v>
      </c>
      <c r="M35" s="2">
        <v>386.13</v>
      </c>
      <c r="N35" s="2">
        <v>2.5499999999999998</v>
      </c>
      <c r="O35" s="2">
        <v>11.6</v>
      </c>
      <c r="P35" s="2">
        <v>12.5</v>
      </c>
      <c r="Q35" s="2">
        <v>27.07</v>
      </c>
    </row>
    <row r="36" spans="1:17" x14ac:dyDescent="0.25">
      <c r="A36" s="2">
        <v>35</v>
      </c>
      <c r="B36" s="2" t="s">
        <v>54</v>
      </c>
      <c r="C36" s="2" t="s">
        <v>17</v>
      </c>
      <c r="D36" s="3">
        <v>44310</v>
      </c>
      <c r="E36" s="2">
        <v>209.71</v>
      </c>
      <c r="F36" s="4">
        <v>208330</v>
      </c>
      <c r="G36" s="5">
        <v>0.27</v>
      </c>
      <c r="H36" s="4">
        <v>208277</v>
      </c>
      <c r="I36" s="5">
        <v>0.32700000000000001</v>
      </c>
      <c r="J36" s="4">
        <v>149341</v>
      </c>
      <c r="K36" s="5">
        <v>0.66500000000000004</v>
      </c>
      <c r="L36" s="4">
        <v>770577</v>
      </c>
      <c r="M36" s="2">
        <v>986.08</v>
      </c>
      <c r="N36" s="2">
        <v>2.61</v>
      </c>
      <c r="O36" s="2">
        <v>14.3</v>
      </c>
      <c r="P36" s="2">
        <v>14</v>
      </c>
      <c r="Q36" s="2">
        <v>29.15</v>
      </c>
    </row>
    <row r="37" spans="1:17" x14ac:dyDescent="0.25">
      <c r="A37" s="2">
        <v>36</v>
      </c>
      <c r="B37" s="2" t="s">
        <v>55</v>
      </c>
      <c r="C37" s="2" t="s">
        <v>17</v>
      </c>
      <c r="D37" s="3">
        <v>44310</v>
      </c>
      <c r="E37" s="2">
        <v>102.87</v>
      </c>
      <c r="F37" s="4">
        <v>76141</v>
      </c>
      <c r="G37" s="5">
        <v>0.25900000000000001</v>
      </c>
      <c r="H37" s="4">
        <v>76011</v>
      </c>
      <c r="I37" s="5">
        <v>0.318</v>
      </c>
      <c r="J37" s="4">
        <v>31874</v>
      </c>
      <c r="K37" s="5">
        <v>0.78100000000000003</v>
      </c>
      <c r="L37" s="4">
        <v>293582</v>
      </c>
      <c r="M37" s="2">
        <v>440.23</v>
      </c>
      <c r="N37" s="2">
        <v>2.4300000000000002</v>
      </c>
      <c r="O37" s="2">
        <v>8.1999999999999993</v>
      </c>
      <c r="P37" s="2">
        <v>20.399999999999999</v>
      </c>
      <c r="Q37" s="2">
        <v>13.89</v>
      </c>
    </row>
    <row r="38" spans="1:17" x14ac:dyDescent="0.25">
      <c r="A38" s="2">
        <v>37</v>
      </c>
      <c r="B38" s="2" t="s">
        <v>56</v>
      </c>
      <c r="C38" s="2" t="s">
        <v>17</v>
      </c>
      <c r="D38" s="3">
        <v>44310</v>
      </c>
      <c r="E38" s="2">
        <v>212.03</v>
      </c>
      <c r="F38" s="4">
        <v>8171</v>
      </c>
      <c r="G38" s="5">
        <v>0.19700000000000001</v>
      </c>
      <c r="H38" s="4">
        <v>8165</v>
      </c>
      <c r="I38" s="6">
        <v>0.24399999999999999</v>
      </c>
      <c r="J38" s="4">
        <v>5553</v>
      </c>
      <c r="K38" s="5">
        <v>0.53200000000000003</v>
      </c>
      <c r="L38" s="4">
        <v>41503</v>
      </c>
      <c r="M38" s="2">
        <v>37.119999999999997</v>
      </c>
      <c r="N38" s="2">
        <v>2.41</v>
      </c>
      <c r="O38" s="2">
        <v>15.5</v>
      </c>
      <c r="P38" s="2">
        <v>20.7</v>
      </c>
      <c r="Q38" s="2">
        <v>25.15</v>
      </c>
    </row>
    <row r="39" spans="1:17" x14ac:dyDescent="0.25">
      <c r="A39" s="2">
        <v>38</v>
      </c>
      <c r="B39" s="2" t="s">
        <v>57</v>
      </c>
      <c r="C39" s="2" t="s">
        <v>25</v>
      </c>
      <c r="D39" s="3">
        <v>44310</v>
      </c>
      <c r="E39" s="2" t="s">
        <v>26</v>
      </c>
      <c r="F39" s="4">
        <v>1208</v>
      </c>
      <c r="G39" s="6">
        <v>0.14499999999999999</v>
      </c>
      <c r="H39" s="4">
        <v>1208</v>
      </c>
      <c r="I39" s="6">
        <v>0.17499999999999999</v>
      </c>
      <c r="J39" s="2">
        <v>715</v>
      </c>
      <c r="K39" s="5">
        <v>0.56899999999999995</v>
      </c>
      <c r="L39" s="4">
        <v>8354</v>
      </c>
      <c r="M39" s="2">
        <v>10</v>
      </c>
      <c r="N39" s="2">
        <v>2.9</v>
      </c>
      <c r="O39" s="2">
        <v>18.5</v>
      </c>
      <c r="P39" s="2">
        <v>13</v>
      </c>
      <c r="Q39" s="2">
        <v>15.04</v>
      </c>
    </row>
    <row r="40" spans="1:17" x14ac:dyDescent="0.25">
      <c r="A40" s="2">
        <v>39</v>
      </c>
      <c r="B40" s="2" t="s">
        <v>58</v>
      </c>
      <c r="C40" s="2" t="s">
        <v>25</v>
      </c>
      <c r="D40" s="3">
        <v>44310</v>
      </c>
      <c r="E40" s="2" t="s">
        <v>26</v>
      </c>
      <c r="F40" s="4">
        <v>3982</v>
      </c>
      <c r="G40" s="5">
        <v>0.215</v>
      </c>
      <c r="H40" s="4">
        <v>3981</v>
      </c>
      <c r="I40" s="5">
        <v>0.26400000000000001</v>
      </c>
      <c r="J40" s="4">
        <v>2457</v>
      </c>
      <c r="K40" s="5">
        <v>0.63</v>
      </c>
      <c r="L40" s="4">
        <v>18493</v>
      </c>
      <c r="M40" s="2">
        <v>26.55</v>
      </c>
      <c r="N40" s="2">
        <v>2.4500000000000002</v>
      </c>
      <c r="O40" s="2">
        <v>13.1</v>
      </c>
      <c r="P40" s="2">
        <v>28.2</v>
      </c>
      <c r="Q40" s="2">
        <v>21.1</v>
      </c>
    </row>
    <row r="41" spans="1:17" x14ac:dyDescent="0.25">
      <c r="A41" s="2">
        <v>40</v>
      </c>
      <c r="B41" s="2" t="s">
        <v>59</v>
      </c>
      <c r="C41" s="2" t="s">
        <v>17</v>
      </c>
      <c r="D41" s="3">
        <v>44310</v>
      </c>
      <c r="E41" s="2">
        <v>198.14</v>
      </c>
      <c r="F41" s="4">
        <v>109599</v>
      </c>
      <c r="G41" s="5">
        <v>0.27200000000000002</v>
      </c>
      <c r="H41" s="4">
        <v>109556</v>
      </c>
      <c r="I41" s="5">
        <v>0.33100000000000002</v>
      </c>
      <c r="J41" s="4">
        <v>74062</v>
      </c>
      <c r="K41" s="5">
        <v>0.65500000000000003</v>
      </c>
      <c r="L41" s="4">
        <v>403253</v>
      </c>
      <c r="M41" s="2">
        <v>542.28</v>
      </c>
      <c r="N41" s="2">
        <v>2.57</v>
      </c>
      <c r="O41" s="2">
        <v>12.7</v>
      </c>
      <c r="P41" s="2">
        <v>12.5</v>
      </c>
      <c r="Q41" s="2">
        <v>28.06</v>
      </c>
    </row>
    <row r="42" spans="1:17" x14ac:dyDescent="0.25">
      <c r="A42" s="2">
        <v>41</v>
      </c>
      <c r="B42" s="2" t="s">
        <v>60</v>
      </c>
      <c r="C42" s="2" t="s">
        <v>17</v>
      </c>
      <c r="D42" s="3">
        <v>44310</v>
      </c>
      <c r="E42" s="2">
        <v>120.9</v>
      </c>
      <c r="F42" s="4">
        <v>96218</v>
      </c>
      <c r="G42" s="5">
        <v>0.26300000000000001</v>
      </c>
      <c r="H42" s="4">
        <v>96177</v>
      </c>
      <c r="I42" s="5">
        <v>0.32300000000000001</v>
      </c>
      <c r="J42" s="4">
        <v>66766</v>
      </c>
      <c r="K42" s="5">
        <v>0.626</v>
      </c>
      <c r="L42" s="4">
        <v>365579</v>
      </c>
      <c r="M42" s="2">
        <v>230.15</v>
      </c>
      <c r="N42" s="2">
        <v>2.48</v>
      </c>
      <c r="O42" s="2">
        <v>12.3</v>
      </c>
      <c r="P42" s="2">
        <v>16.600000000000001</v>
      </c>
      <c r="Q42" s="2">
        <v>29.18</v>
      </c>
    </row>
    <row r="43" spans="1:17" x14ac:dyDescent="0.25">
      <c r="A43" s="2">
        <v>42</v>
      </c>
      <c r="B43" s="2" t="s">
        <v>61</v>
      </c>
      <c r="C43" s="2" t="s">
        <v>17</v>
      </c>
      <c r="D43" s="3">
        <v>44310</v>
      </c>
      <c r="E43" s="2">
        <v>114.29</v>
      </c>
      <c r="F43" s="4">
        <v>50833</v>
      </c>
      <c r="G43" s="5">
        <v>0.316</v>
      </c>
      <c r="H43" s="4">
        <v>50812</v>
      </c>
      <c r="I43" s="5">
        <v>0.377</v>
      </c>
      <c r="J43" s="4">
        <v>36864</v>
      </c>
      <c r="K43" s="6">
        <v>0.72599999999999998</v>
      </c>
      <c r="L43" s="4">
        <v>161000</v>
      </c>
      <c r="M43" s="2">
        <v>296.05</v>
      </c>
      <c r="N43" s="2">
        <v>2.41</v>
      </c>
      <c r="O43" s="2">
        <v>11.5</v>
      </c>
      <c r="P43" s="2">
        <v>10.5</v>
      </c>
      <c r="Q43" s="2">
        <v>31.53</v>
      </c>
    </row>
    <row r="44" spans="1:17" x14ac:dyDescent="0.25">
      <c r="A44" s="2">
        <v>43</v>
      </c>
      <c r="B44" s="2" t="s">
        <v>62</v>
      </c>
      <c r="C44" s="2" t="s">
        <v>17</v>
      </c>
      <c r="D44" s="3">
        <v>44310</v>
      </c>
      <c r="E44" s="2">
        <v>339.76</v>
      </c>
      <c r="F44" s="4">
        <v>738132</v>
      </c>
      <c r="G44" s="5">
        <v>0.27200000000000002</v>
      </c>
      <c r="H44" s="4">
        <v>736404</v>
      </c>
      <c r="I44" s="5">
        <v>0.34</v>
      </c>
      <c r="J44" s="4">
        <v>303893</v>
      </c>
      <c r="K44" s="5">
        <v>0.67100000000000004</v>
      </c>
      <c r="L44" s="4">
        <v>2716940</v>
      </c>
      <c r="M44" s="7">
        <v>1430.09</v>
      </c>
      <c r="N44" s="2">
        <v>3.07</v>
      </c>
      <c r="O44" s="2">
        <v>18.100000000000001</v>
      </c>
      <c r="P44" s="2">
        <v>18</v>
      </c>
      <c r="Q44" s="2">
        <v>16.66</v>
      </c>
    </row>
    <row r="45" spans="1:17" x14ac:dyDescent="0.25">
      <c r="A45" s="2">
        <v>44</v>
      </c>
      <c r="B45" s="2" t="s">
        <v>63</v>
      </c>
      <c r="C45" s="2" t="s">
        <v>17</v>
      </c>
      <c r="D45" s="3">
        <v>44310</v>
      </c>
      <c r="E45" s="2">
        <v>126.64</v>
      </c>
      <c r="F45" s="4">
        <v>24011</v>
      </c>
      <c r="G45" s="5">
        <v>0.32300000000000001</v>
      </c>
      <c r="H45" s="4">
        <v>24001</v>
      </c>
      <c r="I45" s="6">
        <v>0.38100000000000001</v>
      </c>
      <c r="J45" s="4">
        <v>13929</v>
      </c>
      <c r="K45" s="6">
        <v>0.79</v>
      </c>
      <c r="L45" s="4">
        <v>74228</v>
      </c>
      <c r="M45" s="2">
        <v>75.510000000000005</v>
      </c>
      <c r="N45" s="2">
        <v>2.39</v>
      </c>
      <c r="O45" s="2">
        <v>17.8</v>
      </c>
      <c r="P45" s="2">
        <v>11.8</v>
      </c>
      <c r="Q45" s="2">
        <v>23.75</v>
      </c>
    </row>
    <row r="46" spans="1:17" x14ac:dyDescent="0.25">
      <c r="A46" s="2">
        <v>45</v>
      </c>
      <c r="B46" s="2" t="s">
        <v>64</v>
      </c>
      <c r="C46" s="2" t="s">
        <v>17</v>
      </c>
      <c r="D46" s="3">
        <v>44310</v>
      </c>
      <c r="E46" s="2">
        <v>117.35</v>
      </c>
      <c r="F46" s="4">
        <v>26753</v>
      </c>
      <c r="G46" s="5">
        <v>0.30199999999999999</v>
      </c>
      <c r="H46" s="4">
        <v>26737</v>
      </c>
      <c r="I46" s="5">
        <v>0.376</v>
      </c>
      <c r="J46" s="4">
        <v>15734</v>
      </c>
      <c r="K46" s="5">
        <v>0.77800000000000002</v>
      </c>
      <c r="L46" s="4">
        <v>88625</v>
      </c>
      <c r="M46" s="2">
        <v>136.62</v>
      </c>
      <c r="N46" s="2">
        <v>2.5499999999999998</v>
      </c>
      <c r="O46" s="2">
        <v>11</v>
      </c>
      <c r="P46" s="2">
        <v>10.199999999999999</v>
      </c>
      <c r="Q46" s="2">
        <v>22.83</v>
      </c>
    </row>
    <row r="47" spans="1:17" x14ac:dyDescent="0.25">
      <c r="A47" s="2">
        <v>46</v>
      </c>
      <c r="B47" s="2" t="s">
        <v>65</v>
      </c>
      <c r="C47" s="2" t="s">
        <v>19</v>
      </c>
      <c r="D47" s="3">
        <v>44310</v>
      </c>
      <c r="E47" s="2">
        <v>83.99</v>
      </c>
      <c r="F47" s="4">
        <v>48102</v>
      </c>
      <c r="G47" s="6">
        <v>0.22800000000000001</v>
      </c>
      <c r="H47" s="4">
        <v>48072</v>
      </c>
      <c r="I47" s="5">
        <v>0.29299999999999998</v>
      </c>
      <c r="J47" s="4">
        <v>24738</v>
      </c>
      <c r="K47" s="5">
        <v>0.72</v>
      </c>
      <c r="L47" s="4">
        <v>210738</v>
      </c>
      <c r="M47" s="2">
        <v>226.55</v>
      </c>
      <c r="N47" s="2">
        <v>2.52</v>
      </c>
      <c r="O47" s="2">
        <v>12.2</v>
      </c>
      <c r="P47" s="2">
        <v>11.5</v>
      </c>
      <c r="Q47" s="2">
        <v>16.309999999999999</v>
      </c>
    </row>
    <row r="48" spans="1:17" x14ac:dyDescent="0.25">
      <c r="A48" s="2">
        <v>47</v>
      </c>
      <c r="B48" s="2" t="s">
        <v>66</v>
      </c>
      <c r="C48" s="2" t="s">
        <v>17</v>
      </c>
      <c r="D48" s="3">
        <v>44310</v>
      </c>
      <c r="E48" s="2">
        <v>125.69</v>
      </c>
      <c r="F48" s="4">
        <v>7817</v>
      </c>
      <c r="G48" s="5">
        <v>0.185</v>
      </c>
      <c r="H48" s="4">
        <v>7815</v>
      </c>
      <c r="I48" s="5">
        <v>0.23499999999999999</v>
      </c>
      <c r="J48" s="4">
        <v>5554</v>
      </c>
      <c r="K48" s="6">
        <v>0.65500000000000003</v>
      </c>
      <c r="L48" s="4">
        <v>42168</v>
      </c>
      <c r="M48" s="2">
        <v>54.82</v>
      </c>
      <c r="N48" s="2">
        <v>2.73</v>
      </c>
      <c r="O48" s="2">
        <v>18.100000000000001</v>
      </c>
      <c r="P48" s="2">
        <v>22.7</v>
      </c>
      <c r="Q48" s="2">
        <v>20.12</v>
      </c>
    </row>
    <row r="49" spans="1:17" x14ac:dyDescent="0.25">
      <c r="A49" s="2">
        <v>48</v>
      </c>
      <c r="B49" s="2" t="s">
        <v>67</v>
      </c>
      <c r="C49" s="2" t="s">
        <v>17</v>
      </c>
      <c r="D49" s="3">
        <v>44310</v>
      </c>
      <c r="E49" s="2">
        <v>204.17</v>
      </c>
      <c r="F49" s="4">
        <v>330467</v>
      </c>
      <c r="G49" s="5">
        <v>0.23699999999999999</v>
      </c>
      <c r="H49" s="4">
        <v>329710</v>
      </c>
      <c r="I49" s="5">
        <v>0.30299999999999999</v>
      </c>
      <c r="J49" s="4">
        <v>119160</v>
      </c>
      <c r="K49" s="5">
        <v>0.69499999999999995</v>
      </c>
      <c r="L49" s="4">
        <v>1393452</v>
      </c>
      <c r="M49" s="7">
        <v>1545.08</v>
      </c>
      <c r="N49" s="2">
        <v>2.81</v>
      </c>
      <c r="O49" s="2">
        <v>14.5</v>
      </c>
      <c r="P49" s="2">
        <v>16.100000000000001</v>
      </c>
      <c r="Q49" s="2">
        <v>12.31</v>
      </c>
    </row>
    <row r="50" spans="1:17" x14ac:dyDescent="0.25">
      <c r="A50" s="2">
        <v>49</v>
      </c>
      <c r="B50" s="2" t="s">
        <v>68</v>
      </c>
      <c r="C50" s="2" t="s">
        <v>17</v>
      </c>
      <c r="D50" s="3">
        <v>44310</v>
      </c>
      <c r="E50" s="2">
        <v>292.20999999999998</v>
      </c>
      <c r="F50" s="4">
        <v>80576</v>
      </c>
      <c r="G50" s="5">
        <v>0.214</v>
      </c>
      <c r="H50" s="4">
        <v>80487</v>
      </c>
      <c r="I50" s="5">
        <v>0.28199999999999997</v>
      </c>
      <c r="J50" s="4">
        <v>35700</v>
      </c>
      <c r="K50" s="5">
        <v>0.70299999999999996</v>
      </c>
      <c r="L50" s="4">
        <v>375751</v>
      </c>
      <c r="M50" s="2">
        <v>283.04000000000002</v>
      </c>
      <c r="N50" s="2">
        <v>3.4</v>
      </c>
      <c r="O50" s="2">
        <v>15.8</v>
      </c>
      <c r="P50" s="2">
        <v>16.3</v>
      </c>
      <c r="Q50" s="2">
        <v>13.52</v>
      </c>
    </row>
    <row r="51" spans="1:17" x14ac:dyDescent="0.25">
      <c r="A51" s="2">
        <v>50</v>
      </c>
      <c r="B51" s="2" t="s">
        <v>69</v>
      </c>
      <c r="C51" s="2" t="s">
        <v>17</v>
      </c>
      <c r="D51" s="3">
        <v>44310</v>
      </c>
      <c r="E51" s="2">
        <v>188.54</v>
      </c>
      <c r="F51" s="4">
        <v>416220</v>
      </c>
      <c r="G51" s="5">
        <v>0.27800000000000002</v>
      </c>
      <c r="H51" s="4">
        <v>415728</v>
      </c>
      <c r="I51" s="5">
        <v>0.34300000000000003</v>
      </c>
      <c r="J51" s="4">
        <v>250204</v>
      </c>
      <c r="K51" s="5">
        <v>0.68600000000000005</v>
      </c>
      <c r="L51" s="4">
        <v>1496770</v>
      </c>
      <c r="M51" s="2">
        <v>761.99</v>
      </c>
      <c r="N51" s="2">
        <v>2.6</v>
      </c>
      <c r="O51" s="2">
        <v>13.6</v>
      </c>
      <c r="P51" s="2">
        <v>12.8</v>
      </c>
      <c r="Q51" s="2">
        <v>24.36</v>
      </c>
    </row>
    <row r="52" spans="1:17" x14ac:dyDescent="0.25">
      <c r="A52" s="2">
        <v>51</v>
      </c>
      <c r="B52" s="2" t="s">
        <v>70</v>
      </c>
      <c r="C52" s="2" t="s">
        <v>17</v>
      </c>
      <c r="D52" s="3">
        <v>44310</v>
      </c>
      <c r="E52" s="2">
        <v>199.66</v>
      </c>
      <c r="F52" s="4">
        <v>132447</v>
      </c>
      <c r="G52" s="5">
        <v>0.23899999999999999</v>
      </c>
      <c r="H52" s="4">
        <v>132346</v>
      </c>
      <c r="I52" s="5">
        <v>0.3</v>
      </c>
      <c r="J52" s="4">
        <v>77282</v>
      </c>
      <c r="K52" s="5">
        <v>0.61599999999999999</v>
      </c>
      <c r="L52" s="4">
        <v>553947</v>
      </c>
      <c r="M52" s="2">
        <v>741.98</v>
      </c>
      <c r="N52" s="2">
        <v>2.52</v>
      </c>
      <c r="O52" s="2">
        <v>11.8</v>
      </c>
      <c r="P52" s="2">
        <v>13.5</v>
      </c>
      <c r="Q52" s="2">
        <v>22.65</v>
      </c>
    </row>
    <row r="53" spans="1:17" x14ac:dyDescent="0.25">
      <c r="A53" s="2">
        <v>52</v>
      </c>
      <c r="B53" s="2" t="s">
        <v>71</v>
      </c>
      <c r="C53" s="2" t="s">
        <v>17</v>
      </c>
      <c r="D53" s="3">
        <v>44310</v>
      </c>
      <c r="E53" s="2">
        <v>156</v>
      </c>
      <c r="F53" s="4">
        <v>298249</v>
      </c>
      <c r="G53" s="5">
        <v>0.30599999999999999</v>
      </c>
      <c r="H53" s="4">
        <v>298032</v>
      </c>
      <c r="I53" s="5">
        <v>0.36299999999999999</v>
      </c>
      <c r="J53" s="4">
        <v>163687</v>
      </c>
      <c r="K53" s="5">
        <v>0.66100000000000003</v>
      </c>
      <c r="L53" s="4">
        <v>974996</v>
      </c>
      <c r="M53" s="7">
        <v>3561.28</v>
      </c>
      <c r="N53" s="2">
        <v>2.31</v>
      </c>
      <c r="O53" s="2">
        <v>11.5</v>
      </c>
      <c r="P53" s="2">
        <v>13</v>
      </c>
      <c r="Q53" s="2">
        <v>25.4</v>
      </c>
    </row>
    <row r="54" spans="1:17" x14ac:dyDescent="0.25">
      <c r="A54" s="2">
        <v>53</v>
      </c>
      <c r="B54" s="2" t="s">
        <v>72</v>
      </c>
      <c r="C54" s="2" t="s">
        <v>17</v>
      </c>
      <c r="D54" s="3">
        <v>44310</v>
      </c>
      <c r="E54" s="2">
        <v>221.03</v>
      </c>
      <c r="F54" s="4">
        <v>148717</v>
      </c>
      <c r="G54" s="5">
        <v>0.20499999999999999</v>
      </c>
      <c r="H54" s="4">
        <v>148611</v>
      </c>
      <c r="I54" s="5">
        <v>0.26300000000000001</v>
      </c>
      <c r="J54" s="4">
        <v>88435</v>
      </c>
      <c r="K54" s="5">
        <v>0.59699999999999998</v>
      </c>
      <c r="L54" s="4">
        <v>724777</v>
      </c>
      <c r="M54" s="2">
        <v>403.21</v>
      </c>
      <c r="N54" s="2">
        <v>2.84</v>
      </c>
      <c r="O54" s="2">
        <v>13.2</v>
      </c>
      <c r="P54" s="2">
        <v>16.600000000000001</v>
      </c>
      <c r="Q54" s="2">
        <v>20.440000000000001</v>
      </c>
    </row>
    <row r="55" spans="1:17" x14ac:dyDescent="0.25">
      <c r="A55" s="2">
        <v>54</v>
      </c>
      <c r="B55" s="2" t="s">
        <v>73</v>
      </c>
      <c r="C55" s="2" t="s">
        <v>17</v>
      </c>
      <c r="D55" s="3">
        <v>44310</v>
      </c>
      <c r="E55" s="2">
        <v>159.69</v>
      </c>
      <c r="F55" s="4">
        <v>12484</v>
      </c>
      <c r="G55" s="5">
        <v>0.16800000000000001</v>
      </c>
      <c r="H55" s="4">
        <v>12481</v>
      </c>
      <c r="I55" s="5">
        <v>0.21199999999999999</v>
      </c>
      <c r="J55" s="4">
        <v>8183</v>
      </c>
      <c r="K55" s="5">
        <v>0.46300000000000002</v>
      </c>
      <c r="L55" s="4">
        <v>74521</v>
      </c>
      <c r="M55" s="2">
        <v>102.38</v>
      </c>
      <c r="N55" s="2">
        <v>2.52</v>
      </c>
      <c r="O55" s="2">
        <v>16</v>
      </c>
      <c r="P55" s="2">
        <v>24.8</v>
      </c>
      <c r="Q55" s="2">
        <v>23.72</v>
      </c>
    </row>
    <row r="56" spans="1:17" x14ac:dyDescent="0.25">
      <c r="A56" s="2">
        <v>55</v>
      </c>
      <c r="B56" s="2" t="s">
        <v>74</v>
      </c>
      <c r="C56" s="2" t="s">
        <v>25</v>
      </c>
      <c r="D56" s="3">
        <v>44310</v>
      </c>
      <c r="E56" s="2">
        <v>45.03</v>
      </c>
      <c r="F56" s="4">
        <v>37517</v>
      </c>
      <c r="G56" s="5">
        <v>0.20399999999999999</v>
      </c>
      <c r="H56" s="4">
        <v>37479</v>
      </c>
      <c r="I56" s="5">
        <v>0.26</v>
      </c>
      <c r="J56" s="4">
        <v>20312</v>
      </c>
      <c r="K56" s="5">
        <v>0.67400000000000004</v>
      </c>
      <c r="L56" s="4">
        <v>184313</v>
      </c>
      <c r="M56" s="2">
        <v>182.06</v>
      </c>
      <c r="N56" s="2">
        <v>2.68</v>
      </c>
      <c r="O56" s="2">
        <v>10</v>
      </c>
      <c r="P56" s="2">
        <v>9.8000000000000007</v>
      </c>
      <c r="Q56" s="2">
        <v>16.34</v>
      </c>
    </row>
    <row r="57" spans="1:17" x14ac:dyDescent="0.25">
      <c r="A57" s="2">
        <v>56</v>
      </c>
      <c r="B57" s="2" t="s">
        <v>75</v>
      </c>
      <c r="C57" s="2" t="s">
        <v>17</v>
      </c>
      <c r="D57" s="3">
        <v>44310</v>
      </c>
      <c r="E57" s="2">
        <v>180.98</v>
      </c>
      <c r="F57" s="4">
        <v>157042</v>
      </c>
      <c r="G57" s="5">
        <v>0.36199999999999999</v>
      </c>
      <c r="H57" s="4">
        <v>156960</v>
      </c>
      <c r="I57" s="5">
        <v>0.42099999999999999</v>
      </c>
      <c r="J57" s="4">
        <v>116433</v>
      </c>
      <c r="K57" s="5">
        <v>0.71899999999999997</v>
      </c>
      <c r="L57" s="4">
        <v>433742</v>
      </c>
      <c r="M57" s="2">
        <v>780.13</v>
      </c>
      <c r="N57" s="2">
        <v>2.25</v>
      </c>
      <c r="O57" s="2">
        <v>11.4</v>
      </c>
      <c r="P57" s="2">
        <v>9.6999999999999993</v>
      </c>
      <c r="Q57" s="2">
        <v>37.340000000000003</v>
      </c>
    </row>
    <row r="58" spans="1:17" x14ac:dyDescent="0.25">
      <c r="A58" s="2">
        <v>57</v>
      </c>
      <c r="B58" s="2" t="s">
        <v>76</v>
      </c>
      <c r="C58" s="2" t="s">
        <v>17</v>
      </c>
      <c r="D58" s="3">
        <v>44310</v>
      </c>
      <c r="E58" s="2">
        <v>213</v>
      </c>
      <c r="F58" s="4">
        <v>109477</v>
      </c>
      <c r="G58" s="5">
        <v>0.23200000000000001</v>
      </c>
      <c r="H58" s="4">
        <v>109269</v>
      </c>
      <c r="I58" s="5">
        <v>0.29199999999999998</v>
      </c>
      <c r="J58" s="4">
        <v>48829</v>
      </c>
      <c r="K58" s="5">
        <v>0.64800000000000002</v>
      </c>
      <c r="L58" s="4">
        <v>471826</v>
      </c>
      <c r="M58" s="7">
        <v>1525.34</v>
      </c>
      <c r="N58" s="2">
        <v>2.7</v>
      </c>
      <c r="O58" s="2">
        <v>10.4</v>
      </c>
      <c r="P58" s="2">
        <v>11.4</v>
      </c>
      <c r="Q58" s="2">
        <v>15.98</v>
      </c>
    </row>
    <row r="59" spans="1:17" x14ac:dyDescent="0.25">
      <c r="A59" s="2">
        <v>58</v>
      </c>
      <c r="B59" s="2" t="s">
        <v>77</v>
      </c>
      <c r="C59" s="2" t="s">
        <v>17</v>
      </c>
      <c r="D59" s="3">
        <v>44310</v>
      </c>
      <c r="E59" s="2">
        <v>122.04</v>
      </c>
      <c r="F59" s="4">
        <v>91413</v>
      </c>
      <c r="G59" s="5">
        <v>0.34499999999999997</v>
      </c>
      <c r="H59" s="4">
        <v>91233</v>
      </c>
      <c r="I59" s="5">
        <v>0.44</v>
      </c>
      <c r="J59" s="4">
        <v>45964</v>
      </c>
      <c r="K59" s="5">
        <v>0.84099999999999997</v>
      </c>
      <c r="L59" s="4">
        <v>264672</v>
      </c>
      <c r="M59" s="2">
        <v>440.71</v>
      </c>
      <c r="N59" s="2">
        <v>2.7</v>
      </c>
      <c r="O59" s="2">
        <v>8.4</v>
      </c>
      <c r="P59" s="2">
        <v>8.4</v>
      </c>
      <c r="Q59" s="2">
        <v>20.65</v>
      </c>
    </row>
    <row r="60" spans="1:17" x14ac:dyDescent="0.25">
      <c r="A60" s="2">
        <v>59</v>
      </c>
      <c r="B60" s="2" t="s">
        <v>78</v>
      </c>
      <c r="C60" s="2" t="s">
        <v>17</v>
      </c>
      <c r="D60" s="3">
        <v>44310</v>
      </c>
      <c r="E60" s="2">
        <v>137.68</v>
      </c>
      <c r="F60" s="4">
        <v>75297</v>
      </c>
      <c r="G60" s="5">
        <v>0.22900000000000001</v>
      </c>
      <c r="H60" s="4">
        <v>75272</v>
      </c>
      <c r="I60" s="5">
        <v>0.28499999999999998</v>
      </c>
      <c r="J60" s="4">
        <v>49365</v>
      </c>
      <c r="K60" s="5">
        <v>0.61</v>
      </c>
      <c r="L60" s="4">
        <v>328297</v>
      </c>
      <c r="M60" s="2">
        <v>574.29999999999995</v>
      </c>
      <c r="N60" s="2">
        <v>2.68</v>
      </c>
      <c r="O60" s="2">
        <v>14</v>
      </c>
      <c r="P60" s="2">
        <v>15</v>
      </c>
      <c r="Q60" s="2">
        <v>24.65</v>
      </c>
    </row>
    <row r="61" spans="1:17" x14ac:dyDescent="0.25">
      <c r="A61" s="2">
        <v>60</v>
      </c>
      <c r="B61" s="2" t="s">
        <v>79</v>
      </c>
      <c r="C61" s="2" t="s">
        <v>19</v>
      </c>
      <c r="D61" s="3">
        <v>44310</v>
      </c>
      <c r="E61" s="2">
        <v>86.84</v>
      </c>
      <c r="F61" s="4">
        <v>72911</v>
      </c>
      <c r="G61" s="5">
        <v>0.55100000000000005</v>
      </c>
      <c r="H61" s="4">
        <v>72901</v>
      </c>
      <c r="I61" s="5">
        <v>0.59299999999999997</v>
      </c>
      <c r="J61" s="4">
        <v>62371</v>
      </c>
      <c r="K61" s="5">
        <v>0.81</v>
      </c>
      <c r="L61" s="4">
        <v>132420</v>
      </c>
      <c r="M61" s="2">
        <v>237.68</v>
      </c>
      <c r="N61" s="2">
        <v>2.04</v>
      </c>
      <c r="O61" s="2">
        <v>6.2</v>
      </c>
      <c r="P61" s="2">
        <v>8.8000000000000007</v>
      </c>
      <c r="Q61" s="2">
        <v>58.17</v>
      </c>
    </row>
    <row r="62" spans="1:17" x14ac:dyDescent="0.25">
      <c r="A62" s="2">
        <v>61</v>
      </c>
      <c r="B62" s="2" t="s">
        <v>80</v>
      </c>
      <c r="C62" s="2" t="s">
        <v>19</v>
      </c>
      <c r="D62" s="3">
        <v>44310</v>
      </c>
      <c r="E62" s="2">
        <v>56.28</v>
      </c>
      <c r="F62" s="4">
        <v>7831</v>
      </c>
      <c r="G62" s="5">
        <v>0.17599999999999999</v>
      </c>
      <c r="H62" s="4">
        <v>7829</v>
      </c>
      <c r="I62" s="5">
        <v>0.223</v>
      </c>
      <c r="J62" s="4">
        <v>5278</v>
      </c>
      <c r="K62" s="5">
        <v>0.54700000000000004</v>
      </c>
      <c r="L62" s="4">
        <v>44417</v>
      </c>
      <c r="M62" s="2">
        <v>64.510000000000005</v>
      </c>
      <c r="N62" s="2">
        <v>2.81</v>
      </c>
      <c r="O62" s="2">
        <v>13.9</v>
      </c>
      <c r="P62" s="2">
        <v>17.8</v>
      </c>
      <c r="Q62" s="2">
        <v>21.73</v>
      </c>
    </row>
    <row r="63" spans="1:17" x14ac:dyDescent="0.25">
      <c r="A63" s="2">
        <v>62</v>
      </c>
      <c r="B63" s="2" t="s">
        <v>81</v>
      </c>
      <c r="C63" s="2" t="s">
        <v>115</v>
      </c>
      <c r="D63" s="3">
        <v>44310</v>
      </c>
      <c r="E63" s="2" t="s">
        <v>26</v>
      </c>
      <c r="F63" s="4">
        <v>3579</v>
      </c>
      <c r="G63" s="5">
        <v>0.16600000000000001</v>
      </c>
      <c r="H63" s="4">
        <v>3576</v>
      </c>
      <c r="I63" s="5">
        <v>0.20699999999999999</v>
      </c>
      <c r="J63" s="4">
        <v>2351</v>
      </c>
      <c r="K63" s="5">
        <v>0.52</v>
      </c>
      <c r="L63" s="4">
        <v>21569</v>
      </c>
      <c r="M63" s="2">
        <v>20.67</v>
      </c>
      <c r="N63" s="2">
        <v>2.4700000000000002</v>
      </c>
      <c r="O63" s="2">
        <v>10.9</v>
      </c>
      <c r="P63" s="2">
        <v>19.8</v>
      </c>
      <c r="Q63" s="2">
        <v>20.98</v>
      </c>
    </row>
    <row r="64" spans="1:17" x14ac:dyDescent="0.25">
      <c r="A64" s="2">
        <v>63</v>
      </c>
      <c r="B64" s="2" t="s">
        <v>82</v>
      </c>
      <c r="C64" s="2" t="s">
        <v>19</v>
      </c>
      <c r="D64" s="3">
        <v>44310</v>
      </c>
      <c r="E64" s="2">
        <v>72.19</v>
      </c>
      <c r="F64" s="4">
        <v>1735</v>
      </c>
      <c r="G64" s="5">
        <v>0.114</v>
      </c>
      <c r="H64" s="4">
        <v>1735</v>
      </c>
      <c r="I64" s="6">
        <v>0.14199999999999999</v>
      </c>
      <c r="J64" s="4">
        <v>1116</v>
      </c>
      <c r="K64" s="6">
        <v>0.48199999999999998</v>
      </c>
      <c r="L64" s="4">
        <v>15237</v>
      </c>
      <c r="M64" s="2">
        <v>62.56</v>
      </c>
      <c r="N64" s="2">
        <v>2.5</v>
      </c>
      <c r="O64" s="2">
        <v>12.4</v>
      </c>
      <c r="P64" s="2">
        <v>22</v>
      </c>
      <c r="Q64" s="2">
        <v>15.21</v>
      </c>
    </row>
    <row r="65" spans="1:17" x14ac:dyDescent="0.25">
      <c r="A65" s="2">
        <v>64</v>
      </c>
      <c r="B65" s="2" t="s">
        <v>83</v>
      </c>
      <c r="C65" s="2" t="s">
        <v>17</v>
      </c>
      <c r="D65" s="3">
        <v>44310</v>
      </c>
      <c r="E65" s="2">
        <v>193.93</v>
      </c>
      <c r="F65" s="4">
        <v>141743</v>
      </c>
      <c r="G65" s="5">
        <v>0.25600000000000001</v>
      </c>
      <c r="H65" s="4">
        <v>141686</v>
      </c>
      <c r="I65" s="5">
        <v>0.31</v>
      </c>
      <c r="J65" s="4">
        <v>92024</v>
      </c>
      <c r="K65" s="5">
        <v>0.66800000000000004</v>
      </c>
      <c r="L65" s="4">
        <v>553284</v>
      </c>
      <c r="M65" s="2">
        <v>502.42</v>
      </c>
      <c r="N65" s="2">
        <v>2.4300000000000002</v>
      </c>
      <c r="O65" s="2">
        <v>12.5</v>
      </c>
      <c r="P65" s="2">
        <v>15.2</v>
      </c>
      <c r="Q65" s="2">
        <v>24.91</v>
      </c>
    </row>
    <row r="66" spans="1:17" x14ac:dyDescent="0.25">
      <c r="A66" s="2">
        <v>65</v>
      </c>
      <c r="B66" s="2" t="s">
        <v>84</v>
      </c>
      <c r="C66" s="2" t="s">
        <v>17</v>
      </c>
      <c r="D66" s="3">
        <v>44310</v>
      </c>
      <c r="E66" s="2">
        <v>151.16</v>
      </c>
      <c r="F66" s="4">
        <v>6872</v>
      </c>
      <c r="G66" s="5">
        <v>0.20399999999999999</v>
      </c>
      <c r="H66" s="4">
        <v>6867</v>
      </c>
      <c r="I66" s="5">
        <v>0.25700000000000001</v>
      </c>
      <c r="J66" s="4">
        <v>3917</v>
      </c>
      <c r="K66" s="5">
        <v>0.73</v>
      </c>
      <c r="L66" s="4">
        <v>33739</v>
      </c>
      <c r="M66" s="2">
        <v>55.64</v>
      </c>
      <c r="N66" s="2">
        <v>2.56</v>
      </c>
      <c r="O66" s="2">
        <v>9</v>
      </c>
      <c r="P66" s="2">
        <v>11.5</v>
      </c>
      <c r="Q66" s="2">
        <v>15.9</v>
      </c>
    </row>
    <row r="67" spans="1:17" x14ac:dyDescent="0.25">
      <c r="A67" s="2">
        <v>66</v>
      </c>
      <c r="B67" s="2" t="s">
        <v>85</v>
      </c>
      <c r="C67" s="2" t="s">
        <v>17</v>
      </c>
      <c r="D67" s="3">
        <v>44310</v>
      </c>
      <c r="E67" s="2">
        <v>122.86</v>
      </c>
      <c r="F67" s="4">
        <v>15432</v>
      </c>
      <c r="G67" s="5">
        <v>0.20799999999999999</v>
      </c>
      <c r="H67" s="4">
        <v>15426</v>
      </c>
      <c r="I67" s="5">
        <v>0.26200000000000001</v>
      </c>
      <c r="J67" s="4">
        <v>9134</v>
      </c>
      <c r="K67" s="5">
        <v>0.61</v>
      </c>
      <c r="L67" s="4">
        <v>74071</v>
      </c>
      <c r="M67" s="2">
        <v>71.38</v>
      </c>
      <c r="N67" s="2">
        <v>2.42</v>
      </c>
      <c r="O67" s="2">
        <v>13.5</v>
      </c>
      <c r="P67" s="2">
        <v>14.7</v>
      </c>
      <c r="Q67" s="2">
        <v>20.22</v>
      </c>
    </row>
    <row r="68" spans="1:17" x14ac:dyDescent="0.25">
      <c r="A68" s="1">
        <v>67</v>
      </c>
      <c r="B68" s="2" t="s">
        <v>86</v>
      </c>
      <c r="C68" s="2" t="s">
        <v>25</v>
      </c>
      <c r="D68" s="3">
        <v>44310</v>
      </c>
      <c r="E68" s="2" t="s">
        <v>26</v>
      </c>
      <c r="F68" s="4">
        <v>3384</v>
      </c>
      <c r="G68" s="5">
        <v>0.13300000000000001</v>
      </c>
      <c r="H68" s="4">
        <v>3381</v>
      </c>
      <c r="I68" s="5">
        <v>0.16600000000000001</v>
      </c>
      <c r="J68" s="4">
        <v>2063</v>
      </c>
      <c r="K68" s="5">
        <v>0.47099999999999997</v>
      </c>
      <c r="L68" s="4">
        <v>25473</v>
      </c>
      <c r="M68" s="2">
        <v>43.57</v>
      </c>
      <c r="N68" s="2">
        <v>2.57</v>
      </c>
      <c r="O68" s="2">
        <v>12.8</v>
      </c>
      <c r="P68" s="2">
        <v>22.4</v>
      </c>
      <c r="Q68" s="2">
        <v>17.2</v>
      </c>
    </row>
    <row r="69" spans="1:17" ht="36" x14ac:dyDescent="0.25">
      <c r="B69" s="8" t="s">
        <v>87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74EF0-1CEC-46E3-93F1-6DDBA52106F7}">
  <dimension ref="A1:Q69"/>
  <sheetViews>
    <sheetView workbookViewId="0">
      <selection sqref="A1:Q68"/>
    </sheetView>
  </sheetViews>
  <sheetFormatPr defaultRowHeight="15.75" x14ac:dyDescent="0.25"/>
  <cols>
    <col min="1" max="1" width="2.375" bestFit="1" customWidth="1"/>
    <col min="2" max="2" width="9.5" bestFit="1" customWidth="1"/>
    <col min="3" max="3" width="15.875" bestFit="1" customWidth="1"/>
    <col min="4" max="4" width="10.125" bestFit="1" customWidth="1"/>
    <col min="5" max="5" width="10.25" bestFit="1" customWidth="1"/>
    <col min="6" max="6" width="8.125" bestFit="1" customWidth="1"/>
    <col min="7" max="7" width="13.875" bestFit="1" customWidth="1"/>
    <col min="8" max="8" width="9.875" bestFit="1" customWidth="1"/>
    <col min="9" max="9" width="15.625" bestFit="1" customWidth="1"/>
    <col min="10" max="10" width="9.875" bestFit="1" customWidth="1"/>
    <col min="11" max="11" width="15.625" bestFit="1" customWidth="1"/>
    <col min="12" max="12" width="12" bestFit="1" customWidth="1"/>
    <col min="13" max="13" width="13.75" bestFit="1" customWidth="1"/>
    <col min="14" max="14" width="9.5" bestFit="1" customWidth="1"/>
    <col min="15" max="15" width="13.375" bestFit="1" customWidth="1"/>
    <col min="16" max="16" width="9.125" bestFit="1" customWidth="1"/>
    <col min="17" max="17" width="6.125" bestFit="1" customWidth="1"/>
  </cols>
  <sheetData>
    <row r="1" spans="1:17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</row>
    <row r="2" spans="1:17" x14ac:dyDescent="0.25">
      <c r="A2" s="2">
        <v>1</v>
      </c>
      <c r="B2" s="2" t="s">
        <v>16</v>
      </c>
      <c r="C2" s="2" t="s">
        <v>17</v>
      </c>
      <c r="D2" s="3">
        <v>44311</v>
      </c>
      <c r="E2" s="2">
        <v>115.97</v>
      </c>
      <c r="F2" s="4">
        <v>80505</v>
      </c>
      <c r="G2" s="5">
        <v>0.29899999999999999</v>
      </c>
      <c r="H2" s="4">
        <v>80397</v>
      </c>
      <c r="I2" s="6">
        <v>0.36399999999999999</v>
      </c>
      <c r="J2" s="4">
        <v>31746</v>
      </c>
      <c r="K2" s="5">
        <v>0.80800000000000005</v>
      </c>
      <c r="L2" s="4">
        <v>269043</v>
      </c>
      <c r="M2" s="2">
        <v>307.29000000000002</v>
      </c>
      <c r="N2" s="2">
        <v>2.54</v>
      </c>
      <c r="O2" s="2">
        <v>9.1999999999999993</v>
      </c>
      <c r="P2" s="2">
        <v>21.8</v>
      </c>
      <c r="Q2" s="2">
        <v>14.6</v>
      </c>
    </row>
    <row r="3" spans="1:17" x14ac:dyDescent="0.25">
      <c r="A3" s="2">
        <v>2</v>
      </c>
      <c r="B3" s="2" t="s">
        <v>18</v>
      </c>
      <c r="C3" s="2" t="s">
        <v>17</v>
      </c>
      <c r="D3" s="3">
        <v>44311</v>
      </c>
      <c r="E3" s="2">
        <v>123.25</v>
      </c>
      <c r="F3" s="4">
        <v>3841</v>
      </c>
      <c r="G3" s="5">
        <v>0.13100000000000001</v>
      </c>
      <c r="H3" s="4">
        <v>3841</v>
      </c>
      <c r="I3" s="5">
        <v>0.17299999999999999</v>
      </c>
      <c r="J3" s="4">
        <v>2240</v>
      </c>
      <c r="K3" s="5">
        <v>0.54400000000000004</v>
      </c>
      <c r="L3" s="4">
        <v>29210</v>
      </c>
      <c r="M3" s="2">
        <v>49.91</v>
      </c>
      <c r="N3" s="2">
        <v>2.92</v>
      </c>
      <c r="O3" s="2">
        <v>12.5</v>
      </c>
      <c r="P3" s="2">
        <v>14.6</v>
      </c>
      <c r="Q3" s="2">
        <v>14.09</v>
      </c>
    </row>
    <row r="4" spans="1:17" x14ac:dyDescent="0.25">
      <c r="A4" s="2">
        <v>3</v>
      </c>
      <c r="B4" s="2" t="s">
        <v>20</v>
      </c>
      <c r="C4" s="2" t="s">
        <v>19</v>
      </c>
      <c r="D4" s="3">
        <v>44311</v>
      </c>
      <c r="E4" s="2">
        <v>69.83</v>
      </c>
      <c r="F4" s="4">
        <v>38558</v>
      </c>
      <c r="G4" s="5">
        <v>0.221</v>
      </c>
      <c r="H4" s="4">
        <v>38534</v>
      </c>
      <c r="I4" s="5">
        <v>0.27800000000000002</v>
      </c>
      <c r="J4" s="4">
        <v>19629</v>
      </c>
      <c r="K4" s="6">
        <v>0.60299999999999998</v>
      </c>
      <c r="L4" s="4">
        <v>174705</v>
      </c>
      <c r="M4" s="2">
        <v>230.3</v>
      </c>
      <c r="N4" s="2">
        <v>2.57</v>
      </c>
      <c r="O4" s="2">
        <v>14.2</v>
      </c>
      <c r="P4" s="2">
        <v>14.7</v>
      </c>
      <c r="Q4" s="2">
        <v>18.62</v>
      </c>
    </row>
    <row r="5" spans="1:17" x14ac:dyDescent="0.25">
      <c r="A5" s="2">
        <v>4</v>
      </c>
      <c r="B5" s="2" t="s">
        <v>21</v>
      </c>
      <c r="C5" s="2" t="s">
        <v>19</v>
      </c>
      <c r="D5" s="3">
        <v>44311</v>
      </c>
      <c r="E5" s="2">
        <v>60.28</v>
      </c>
      <c r="F5" s="4">
        <v>4168</v>
      </c>
      <c r="G5" s="5">
        <v>0.14799999999999999</v>
      </c>
      <c r="H5" s="4">
        <v>4168</v>
      </c>
      <c r="I5" s="5">
        <v>0.183</v>
      </c>
      <c r="J5" s="4">
        <v>2582</v>
      </c>
      <c r="K5" s="5">
        <v>0.51</v>
      </c>
      <c r="L5" s="4">
        <v>28201</v>
      </c>
      <c r="M5" s="2">
        <v>95.93</v>
      </c>
      <c r="N5" s="2">
        <v>2.6</v>
      </c>
      <c r="O5" s="2">
        <v>12.4</v>
      </c>
      <c r="P5" s="2">
        <v>20.3</v>
      </c>
      <c r="Q5" s="2">
        <v>17.96</v>
      </c>
    </row>
    <row r="6" spans="1:17" x14ac:dyDescent="0.25">
      <c r="A6" s="2">
        <v>5</v>
      </c>
      <c r="B6" s="2" t="s">
        <v>22</v>
      </c>
      <c r="C6" s="2" t="s">
        <v>17</v>
      </c>
      <c r="D6" s="3">
        <v>44311</v>
      </c>
      <c r="E6" s="2">
        <v>142.87</v>
      </c>
      <c r="F6" s="4">
        <v>163773</v>
      </c>
      <c r="G6" s="5">
        <v>0.27200000000000002</v>
      </c>
      <c r="H6" s="4">
        <v>163679</v>
      </c>
      <c r="I6" s="5">
        <v>0.33200000000000002</v>
      </c>
      <c r="J6" s="4">
        <v>95476</v>
      </c>
      <c r="K6" s="5">
        <v>0.65500000000000003</v>
      </c>
      <c r="L6" s="4">
        <v>601942</v>
      </c>
      <c r="M6" s="2">
        <v>593.05999999999995</v>
      </c>
      <c r="N6" s="2">
        <v>2.4900000000000002</v>
      </c>
      <c r="O6" s="2">
        <v>10.8</v>
      </c>
      <c r="P6" s="2">
        <v>12.7</v>
      </c>
      <c r="Q6" s="2">
        <v>24.21</v>
      </c>
    </row>
    <row r="7" spans="1:17" x14ac:dyDescent="0.25">
      <c r="A7" s="2">
        <v>6</v>
      </c>
      <c r="B7" s="2" t="s">
        <v>23</v>
      </c>
      <c r="C7" s="2" t="s">
        <v>17</v>
      </c>
      <c r="D7" s="3">
        <v>44311</v>
      </c>
      <c r="E7" s="2">
        <v>243.19</v>
      </c>
      <c r="F7" s="4">
        <v>514125</v>
      </c>
      <c r="G7" s="5">
        <v>0.26300000000000001</v>
      </c>
      <c r="H7" s="4">
        <v>512971</v>
      </c>
      <c r="I7" s="5">
        <v>0.33300000000000002</v>
      </c>
      <c r="J7" s="4">
        <v>223269</v>
      </c>
      <c r="K7" s="5">
        <v>0.66700000000000004</v>
      </c>
      <c r="L7" s="4">
        <v>1952778</v>
      </c>
      <c r="M7" s="7">
        <v>1623.5</v>
      </c>
      <c r="N7" s="2">
        <v>2.77</v>
      </c>
      <c r="O7" s="2">
        <v>14.6</v>
      </c>
      <c r="P7" s="2">
        <v>13.5</v>
      </c>
      <c r="Q7" s="2">
        <v>17.13</v>
      </c>
    </row>
    <row r="8" spans="1:17" x14ac:dyDescent="0.25">
      <c r="A8" s="2">
        <v>7</v>
      </c>
      <c r="B8" s="2" t="s">
        <v>24</v>
      </c>
      <c r="C8" s="2" t="s">
        <v>19</v>
      </c>
      <c r="D8" s="3">
        <v>44311</v>
      </c>
      <c r="E8" s="2">
        <v>77.989999999999995</v>
      </c>
      <c r="F8" s="4">
        <v>2209</v>
      </c>
      <c r="G8" s="6">
        <v>0.157</v>
      </c>
      <c r="H8" s="4">
        <v>2209</v>
      </c>
      <c r="I8" s="5">
        <v>0.19600000000000001</v>
      </c>
      <c r="J8" s="4">
        <v>1417</v>
      </c>
      <c r="K8" s="5">
        <v>0.53100000000000003</v>
      </c>
      <c r="L8" s="4">
        <v>14105</v>
      </c>
      <c r="M8" s="2">
        <v>24.86</v>
      </c>
      <c r="N8" s="2">
        <v>2.73</v>
      </c>
      <c r="O8" s="2">
        <v>18.3</v>
      </c>
      <c r="P8" s="2">
        <v>12.2</v>
      </c>
      <c r="Q8" s="2">
        <v>18.93</v>
      </c>
    </row>
    <row r="9" spans="1:17" x14ac:dyDescent="0.25">
      <c r="A9" s="2">
        <v>8</v>
      </c>
      <c r="B9" s="2" t="s">
        <v>27</v>
      </c>
      <c r="C9" s="2" t="s">
        <v>17</v>
      </c>
      <c r="D9" s="3">
        <v>44311</v>
      </c>
      <c r="E9" s="2">
        <v>112.22</v>
      </c>
      <c r="F9" s="4">
        <v>70631</v>
      </c>
      <c r="G9" s="5">
        <v>0.374</v>
      </c>
      <c r="H9" s="4">
        <v>70601</v>
      </c>
      <c r="I9" s="5">
        <v>0.42399999999999999</v>
      </c>
      <c r="J9" s="4">
        <v>53473</v>
      </c>
      <c r="K9" s="5">
        <v>0.69399999999999995</v>
      </c>
      <c r="L9" s="4">
        <v>188910</v>
      </c>
      <c r="M9" s="2">
        <v>277.36</v>
      </c>
      <c r="N9" s="2">
        <v>2.2799999999999998</v>
      </c>
      <c r="O9" s="2">
        <v>11.3</v>
      </c>
      <c r="P9" s="2">
        <v>11.1</v>
      </c>
      <c r="Q9" s="2">
        <v>40.799999999999997</v>
      </c>
    </row>
    <row r="10" spans="1:17" x14ac:dyDescent="0.25">
      <c r="A10" s="2">
        <v>9</v>
      </c>
      <c r="B10" s="2" t="s">
        <v>28</v>
      </c>
      <c r="C10" s="2" t="s">
        <v>17</v>
      </c>
      <c r="D10" s="3">
        <v>44311</v>
      </c>
      <c r="E10" s="2">
        <v>116.93</v>
      </c>
      <c r="F10" s="4">
        <v>45477</v>
      </c>
      <c r="G10" s="5">
        <v>0.30399999999999999</v>
      </c>
      <c r="H10" s="4">
        <v>45466</v>
      </c>
      <c r="I10" s="5">
        <v>0.35599999999999998</v>
      </c>
      <c r="J10" s="4">
        <v>34756</v>
      </c>
      <c r="K10" s="5">
        <v>0.63300000000000001</v>
      </c>
      <c r="L10" s="4">
        <v>149657</v>
      </c>
      <c r="M10" s="2">
        <v>257.18</v>
      </c>
      <c r="N10" s="2">
        <v>2.2400000000000002</v>
      </c>
      <c r="O10" s="2">
        <v>10.4</v>
      </c>
      <c r="P10" s="2">
        <v>16.7</v>
      </c>
      <c r="Q10" s="2">
        <v>36.71</v>
      </c>
    </row>
    <row r="11" spans="1:17" x14ac:dyDescent="0.25">
      <c r="A11" s="2">
        <v>10</v>
      </c>
      <c r="B11" s="2" t="s">
        <v>29</v>
      </c>
      <c r="C11" s="2" t="s">
        <v>17</v>
      </c>
      <c r="D11" s="3">
        <v>44311</v>
      </c>
      <c r="E11" s="2">
        <v>139.57</v>
      </c>
      <c r="F11" s="4">
        <v>43422</v>
      </c>
      <c r="G11" s="5">
        <v>0.19800000000000001</v>
      </c>
      <c r="H11" s="4">
        <v>43373</v>
      </c>
      <c r="I11" s="5">
        <v>0.25700000000000001</v>
      </c>
      <c r="J11" s="4">
        <v>21070</v>
      </c>
      <c r="K11" s="5">
        <v>0.58799999999999997</v>
      </c>
      <c r="L11" s="4">
        <v>219252</v>
      </c>
      <c r="M11" s="2">
        <v>362.63</v>
      </c>
      <c r="N11" s="2">
        <v>2.81</v>
      </c>
      <c r="O11" s="2">
        <v>10.4</v>
      </c>
      <c r="P11" s="2">
        <v>10.6</v>
      </c>
      <c r="Q11" s="2">
        <v>16.350000000000001</v>
      </c>
    </row>
    <row r="12" spans="1:17" x14ac:dyDescent="0.25">
      <c r="A12" s="2">
        <v>11</v>
      </c>
      <c r="B12" s="2" t="s">
        <v>30</v>
      </c>
      <c r="C12" s="2" t="s">
        <v>17</v>
      </c>
      <c r="D12" s="3">
        <v>44311</v>
      </c>
      <c r="E12" s="2">
        <v>151.72999999999999</v>
      </c>
      <c r="F12" s="4">
        <v>130959</v>
      </c>
      <c r="G12" s="6">
        <v>0.34</v>
      </c>
      <c r="H12" s="4">
        <v>130911</v>
      </c>
      <c r="I12" s="5">
        <v>0.40899999999999997</v>
      </c>
      <c r="J12" s="4">
        <v>94794</v>
      </c>
      <c r="K12" s="5">
        <v>0.748</v>
      </c>
      <c r="L12" s="4">
        <v>384902</v>
      </c>
      <c r="M12" s="2">
        <v>192.75</v>
      </c>
      <c r="N12" s="2">
        <v>2.5499999999999998</v>
      </c>
      <c r="O12" s="2">
        <v>16.5</v>
      </c>
      <c r="P12" s="2">
        <v>12.3</v>
      </c>
      <c r="Q12" s="2">
        <v>32.92</v>
      </c>
    </row>
    <row r="13" spans="1:17" x14ac:dyDescent="0.25">
      <c r="A13" s="2">
        <v>12</v>
      </c>
      <c r="B13" s="2" t="s">
        <v>31</v>
      </c>
      <c r="C13" s="2" t="s">
        <v>19</v>
      </c>
      <c r="D13" s="3">
        <v>44311</v>
      </c>
      <c r="E13" s="2">
        <v>73.930000000000007</v>
      </c>
      <c r="F13" s="4">
        <v>13214</v>
      </c>
      <c r="G13" s="5">
        <v>0.184</v>
      </c>
      <c r="H13" s="4">
        <v>13209</v>
      </c>
      <c r="I13" s="5">
        <v>0.23499999999999999</v>
      </c>
      <c r="J13" s="4">
        <v>7884</v>
      </c>
      <c r="K13" s="5">
        <v>0.57099999999999995</v>
      </c>
      <c r="L13" s="4">
        <v>71686</v>
      </c>
      <c r="M13" s="2">
        <v>89.88</v>
      </c>
      <c r="N13" s="2">
        <v>2.57</v>
      </c>
      <c r="O13" s="2">
        <v>12.4</v>
      </c>
      <c r="P13" s="2">
        <v>17.399999999999999</v>
      </c>
      <c r="Q13" s="2">
        <v>19.260000000000002</v>
      </c>
    </row>
    <row r="14" spans="1:17" x14ac:dyDescent="0.25">
      <c r="A14" s="2">
        <v>13</v>
      </c>
      <c r="B14" s="2" t="s">
        <v>32</v>
      </c>
      <c r="C14" s="2" t="s">
        <v>17</v>
      </c>
      <c r="D14" s="3">
        <v>44311</v>
      </c>
      <c r="E14" s="2">
        <v>123.68</v>
      </c>
      <c r="F14" s="4">
        <v>6649</v>
      </c>
      <c r="G14" s="5">
        <v>0.17499999999999999</v>
      </c>
      <c r="H14" s="4">
        <v>6648</v>
      </c>
      <c r="I14" s="5">
        <v>0.216</v>
      </c>
      <c r="J14" s="4">
        <v>4755</v>
      </c>
      <c r="K14" s="5">
        <v>0.55600000000000005</v>
      </c>
      <c r="L14" s="4">
        <v>38001</v>
      </c>
      <c r="M14" s="2">
        <v>59.68</v>
      </c>
      <c r="N14" s="2">
        <v>2.74</v>
      </c>
      <c r="O14" s="2">
        <v>18.399999999999999</v>
      </c>
      <c r="P14" s="2">
        <v>28.5</v>
      </c>
      <c r="Q14" s="2">
        <v>22.52</v>
      </c>
    </row>
    <row r="15" spans="1:17" x14ac:dyDescent="0.25">
      <c r="A15" s="2">
        <v>14</v>
      </c>
      <c r="B15" s="2" t="s">
        <v>33</v>
      </c>
      <c r="C15" s="2" t="s">
        <v>25</v>
      </c>
      <c r="D15" s="3">
        <v>44311</v>
      </c>
      <c r="E15" s="2" t="s">
        <v>26</v>
      </c>
      <c r="F15" s="4">
        <v>2624</v>
      </c>
      <c r="G15" s="5">
        <v>0.156</v>
      </c>
      <c r="H15" s="4">
        <v>2623</v>
      </c>
      <c r="I15" s="5">
        <v>0.191</v>
      </c>
      <c r="J15" s="4">
        <v>1917</v>
      </c>
      <c r="K15" s="5">
        <v>0.48099999999999998</v>
      </c>
      <c r="L15" s="4">
        <v>16826</v>
      </c>
      <c r="M15" s="2">
        <v>23.86</v>
      </c>
      <c r="N15" s="2">
        <v>2.2799999999999998</v>
      </c>
      <c r="O15" s="2">
        <v>17.2</v>
      </c>
      <c r="P15" s="2">
        <v>23.1</v>
      </c>
      <c r="Q15" s="2">
        <v>23.68</v>
      </c>
    </row>
    <row r="16" spans="1:17" x14ac:dyDescent="0.25">
      <c r="A16" s="2">
        <v>15</v>
      </c>
      <c r="B16" s="2" t="s">
        <v>34</v>
      </c>
      <c r="C16" s="2" t="s">
        <v>17</v>
      </c>
      <c r="D16" s="3">
        <v>44311</v>
      </c>
      <c r="E16" s="2">
        <v>117.15</v>
      </c>
      <c r="F16" s="4">
        <v>248769</v>
      </c>
      <c r="G16" s="5">
        <v>0.26</v>
      </c>
      <c r="H16" s="4">
        <v>248400</v>
      </c>
      <c r="I16" s="5">
        <v>0.33500000000000002</v>
      </c>
      <c r="J16" s="4">
        <v>99321</v>
      </c>
      <c r="K16" s="5">
        <v>0.71699999999999997</v>
      </c>
      <c r="L16" s="4">
        <v>957755</v>
      </c>
      <c r="M16" s="7">
        <v>1255.8599999999999</v>
      </c>
      <c r="N16" s="2">
        <v>2.5499999999999998</v>
      </c>
      <c r="O16" s="2">
        <v>12</v>
      </c>
      <c r="P16" s="2">
        <v>15.5</v>
      </c>
      <c r="Q16" s="2">
        <v>14.47</v>
      </c>
    </row>
    <row r="17" spans="1:17" x14ac:dyDescent="0.25">
      <c r="A17" s="2">
        <v>16</v>
      </c>
      <c r="B17" s="2" t="s">
        <v>35</v>
      </c>
      <c r="C17" s="2" t="s">
        <v>19</v>
      </c>
      <c r="D17" s="3">
        <v>44311</v>
      </c>
      <c r="E17" s="2">
        <v>83.56</v>
      </c>
      <c r="F17" s="4">
        <v>76111</v>
      </c>
      <c r="G17" s="5">
        <v>0.23899999999999999</v>
      </c>
      <c r="H17" s="4">
        <v>76072</v>
      </c>
      <c r="I17" s="5">
        <v>0.30199999999999999</v>
      </c>
      <c r="J17" s="4">
        <v>36472</v>
      </c>
      <c r="K17" s="5">
        <v>0.66800000000000004</v>
      </c>
      <c r="L17" s="4">
        <v>318316</v>
      </c>
      <c r="M17" s="2">
        <v>484.52</v>
      </c>
      <c r="N17" s="2">
        <v>2.4700000000000002</v>
      </c>
      <c r="O17" s="2">
        <v>10.199999999999999</v>
      </c>
      <c r="P17" s="2">
        <v>13.9</v>
      </c>
      <c r="Q17" s="2">
        <v>17.14</v>
      </c>
    </row>
    <row r="18" spans="1:17" x14ac:dyDescent="0.25">
      <c r="A18" s="2">
        <v>17</v>
      </c>
      <c r="B18" s="2" t="s">
        <v>36</v>
      </c>
      <c r="C18" s="2" t="s">
        <v>17</v>
      </c>
      <c r="D18" s="3">
        <v>44311</v>
      </c>
      <c r="E18" s="2">
        <v>106.88</v>
      </c>
      <c r="F18" s="4">
        <v>36178</v>
      </c>
      <c r="G18" s="5">
        <v>0.314</v>
      </c>
      <c r="H18" s="4">
        <v>36166</v>
      </c>
      <c r="I18" s="5">
        <v>0.377</v>
      </c>
      <c r="J18" s="4">
        <v>25274</v>
      </c>
      <c r="K18" s="5">
        <v>0.70399999999999996</v>
      </c>
      <c r="L18" s="4">
        <v>115081</v>
      </c>
      <c r="M18" s="2">
        <v>237.21</v>
      </c>
      <c r="N18" s="2">
        <v>2.62</v>
      </c>
      <c r="O18" s="2">
        <v>12.7</v>
      </c>
      <c r="P18" s="2">
        <v>11.9</v>
      </c>
      <c r="Q18" s="2">
        <v>31.19</v>
      </c>
    </row>
    <row r="19" spans="1:17" x14ac:dyDescent="0.25">
      <c r="A19" s="2">
        <v>18</v>
      </c>
      <c r="B19" s="2" t="s">
        <v>37</v>
      </c>
      <c r="C19" s="2" t="s">
        <v>25</v>
      </c>
      <c r="D19" s="3">
        <v>44311</v>
      </c>
      <c r="E19" s="2" t="s">
        <v>26</v>
      </c>
      <c r="F19" s="4">
        <v>3094</v>
      </c>
      <c r="G19" s="5">
        <v>0.255</v>
      </c>
      <c r="H19" s="4">
        <v>3094</v>
      </c>
      <c r="I19" s="5">
        <v>0.30199999999999999</v>
      </c>
      <c r="J19" s="4">
        <v>2083</v>
      </c>
      <c r="K19" s="5">
        <v>0.71199999999999997</v>
      </c>
      <c r="L19" s="4">
        <v>12125</v>
      </c>
      <c r="M19" s="2">
        <v>22.24</v>
      </c>
      <c r="N19" s="2">
        <v>2.35</v>
      </c>
      <c r="O19" s="2">
        <v>18.3</v>
      </c>
      <c r="P19" s="2">
        <v>20.7</v>
      </c>
      <c r="Q19" s="2">
        <v>24.13</v>
      </c>
    </row>
    <row r="20" spans="1:17" x14ac:dyDescent="0.25">
      <c r="A20" s="2">
        <v>19</v>
      </c>
      <c r="B20" s="2" t="s">
        <v>38</v>
      </c>
      <c r="C20" s="2" t="s">
        <v>19</v>
      </c>
      <c r="D20" s="3">
        <v>44311</v>
      </c>
      <c r="E20" s="2">
        <v>52.56</v>
      </c>
      <c r="F20" s="4">
        <v>12385</v>
      </c>
      <c r="G20" s="5">
        <v>0.27100000000000002</v>
      </c>
      <c r="H20" s="4">
        <v>12377</v>
      </c>
      <c r="I20" s="5">
        <v>0.34599999999999997</v>
      </c>
      <c r="J20" s="4">
        <v>6129</v>
      </c>
      <c r="K20" s="5">
        <v>0.71799999999999997</v>
      </c>
      <c r="L20" s="4">
        <v>45660</v>
      </c>
      <c r="M20" s="2">
        <v>88.44</v>
      </c>
      <c r="N20" s="2">
        <v>2.4700000000000002</v>
      </c>
      <c r="O20" s="2">
        <v>14.9</v>
      </c>
      <c r="P20" s="2">
        <v>24.6</v>
      </c>
      <c r="Q20" s="2">
        <v>18.7</v>
      </c>
    </row>
    <row r="21" spans="1:17" x14ac:dyDescent="0.25">
      <c r="A21" s="2">
        <v>20</v>
      </c>
      <c r="B21" s="2" t="s">
        <v>39</v>
      </c>
      <c r="C21" s="2" t="s">
        <v>17</v>
      </c>
      <c r="D21" s="3">
        <v>44311</v>
      </c>
      <c r="E21" s="2">
        <v>161.44999999999999</v>
      </c>
      <c r="F21" s="4">
        <v>3011</v>
      </c>
      <c r="G21" s="5">
        <v>0.16200000000000001</v>
      </c>
      <c r="H21" s="4">
        <v>3009</v>
      </c>
      <c r="I21" s="6">
        <v>0.20200000000000001</v>
      </c>
      <c r="J21" s="4">
        <v>1901</v>
      </c>
      <c r="K21" s="5">
        <v>0.495</v>
      </c>
      <c r="L21" s="4">
        <v>18582</v>
      </c>
      <c r="M21" s="2">
        <v>53.14</v>
      </c>
      <c r="N21" s="2">
        <v>2.5</v>
      </c>
      <c r="O21" s="2">
        <v>18.100000000000001</v>
      </c>
      <c r="P21" s="2">
        <v>17.899999999999999</v>
      </c>
      <c r="Q21" s="2">
        <v>20.65</v>
      </c>
    </row>
    <row r="22" spans="1:17" x14ac:dyDescent="0.25">
      <c r="A22" s="2">
        <v>21</v>
      </c>
      <c r="B22" s="2" t="s">
        <v>40</v>
      </c>
      <c r="C22" s="2" t="s">
        <v>19</v>
      </c>
      <c r="D22" s="3">
        <v>44311</v>
      </c>
      <c r="E22" s="2" t="s">
        <v>26</v>
      </c>
      <c r="F22" s="4">
        <v>1968</v>
      </c>
      <c r="G22" s="6">
        <v>0.14199999999999999</v>
      </c>
      <c r="H22" s="4">
        <v>1968</v>
      </c>
      <c r="I22" s="5">
        <v>0.16600000000000001</v>
      </c>
      <c r="J22" s="4">
        <v>1367</v>
      </c>
      <c r="K22" s="5">
        <v>0.35899999999999999</v>
      </c>
      <c r="L22" s="4">
        <v>13811</v>
      </c>
      <c r="M22" s="2">
        <v>17.12</v>
      </c>
      <c r="N22" s="2">
        <v>2.71</v>
      </c>
      <c r="O22" s="2">
        <v>19.899999999999999</v>
      </c>
      <c r="P22" s="2">
        <v>17</v>
      </c>
      <c r="Q22" s="2">
        <v>27.57</v>
      </c>
    </row>
    <row r="23" spans="1:17" x14ac:dyDescent="0.25">
      <c r="A23" s="2">
        <v>22</v>
      </c>
      <c r="B23" s="2" t="s">
        <v>41</v>
      </c>
      <c r="C23" s="2" t="s">
        <v>17</v>
      </c>
      <c r="D23" s="3">
        <v>44311</v>
      </c>
      <c r="E23" s="2">
        <v>124.64</v>
      </c>
      <c r="F23" s="4">
        <v>3347</v>
      </c>
      <c r="G23" s="6">
        <v>0.245</v>
      </c>
      <c r="H23" s="4">
        <v>3347</v>
      </c>
      <c r="I23" s="5">
        <v>0.3</v>
      </c>
      <c r="J23" s="4">
        <v>2339</v>
      </c>
      <c r="K23" s="5">
        <v>0.64700000000000002</v>
      </c>
      <c r="L23" s="4">
        <v>13639</v>
      </c>
      <c r="M23" s="2">
        <v>24.64</v>
      </c>
      <c r="N23" s="2">
        <v>2.5499999999999998</v>
      </c>
      <c r="O23" s="2">
        <v>11.4</v>
      </c>
      <c r="P23" s="2">
        <v>13.9</v>
      </c>
      <c r="Q23" s="2">
        <v>26.5</v>
      </c>
    </row>
    <row r="24" spans="1:17" x14ac:dyDescent="0.25">
      <c r="A24" s="2">
        <v>23</v>
      </c>
      <c r="B24" s="2" t="s">
        <v>42</v>
      </c>
      <c r="C24" s="2" t="s">
        <v>19</v>
      </c>
      <c r="D24" s="3">
        <v>44311</v>
      </c>
      <c r="E24" s="2">
        <v>69.31</v>
      </c>
      <c r="F24" s="4">
        <v>2347</v>
      </c>
      <c r="G24" s="5">
        <v>0.16300000000000001</v>
      </c>
      <c r="H24" s="4">
        <v>2346</v>
      </c>
      <c r="I24" s="5">
        <v>0.20100000000000001</v>
      </c>
      <c r="J24" s="4">
        <v>1514</v>
      </c>
      <c r="K24" s="5">
        <v>0.56799999999999995</v>
      </c>
      <c r="L24" s="4">
        <v>14428</v>
      </c>
      <c r="M24" s="2">
        <v>28.08</v>
      </c>
      <c r="N24" s="2">
        <v>2.44</v>
      </c>
      <c r="O24" s="2">
        <v>14.3</v>
      </c>
      <c r="P24" s="2">
        <v>29.5</v>
      </c>
      <c r="Q24" s="2">
        <v>18.46</v>
      </c>
    </row>
    <row r="25" spans="1:17" x14ac:dyDescent="0.25">
      <c r="A25" s="2">
        <v>24</v>
      </c>
      <c r="B25" s="2" t="s">
        <v>43</v>
      </c>
      <c r="C25" s="2" t="s">
        <v>17</v>
      </c>
      <c r="D25" s="3">
        <v>44311</v>
      </c>
      <c r="E25" s="2">
        <v>207.89</v>
      </c>
      <c r="F25" s="4">
        <v>3587</v>
      </c>
      <c r="G25" s="5">
        <v>0.13300000000000001</v>
      </c>
      <c r="H25" s="4">
        <v>3586</v>
      </c>
      <c r="I25" s="5">
        <v>0.17899999999999999</v>
      </c>
      <c r="J25" s="4">
        <v>2454</v>
      </c>
      <c r="K25" s="5">
        <v>0.52300000000000002</v>
      </c>
      <c r="L25" s="4">
        <v>26937</v>
      </c>
      <c r="M25" s="2">
        <v>42.25</v>
      </c>
      <c r="N25" s="2">
        <v>3.22</v>
      </c>
      <c r="O25" s="2">
        <v>12.2</v>
      </c>
      <c r="P25" s="2">
        <v>26.7</v>
      </c>
      <c r="Q25" s="2">
        <v>17.43</v>
      </c>
    </row>
    <row r="26" spans="1:17" x14ac:dyDescent="0.25">
      <c r="A26" s="2">
        <v>25</v>
      </c>
      <c r="B26" s="2" t="s">
        <v>44</v>
      </c>
      <c r="C26" s="2" t="s">
        <v>17</v>
      </c>
      <c r="D26" s="3">
        <v>44311</v>
      </c>
      <c r="E26" s="2">
        <v>104.71</v>
      </c>
      <c r="F26" s="4">
        <v>6955</v>
      </c>
      <c r="G26" s="5">
        <v>0.16600000000000001</v>
      </c>
      <c r="H26" s="4">
        <v>6952</v>
      </c>
      <c r="I26" s="5">
        <v>0.22600000000000001</v>
      </c>
      <c r="J26" s="4">
        <v>3688</v>
      </c>
      <c r="K26" s="5">
        <v>0.63800000000000001</v>
      </c>
      <c r="L26" s="4">
        <v>42022</v>
      </c>
      <c r="M26" s="2">
        <v>36.340000000000003</v>
      </c>
      <c r="N26" s="2">
        <v>3.17</v>
      </c>
      <c r="O26" s="2">
        <v>26.2</v>
      </c>
      <c r="P26" s="2">
        <v>26.8</v>
      </c>
      <c r="Q26" s="2">
        <v>13.75</v>
      </c>
    </row>
    <row r="27" spans="1:17" x14ac:dyDescent="0.25">
      <c r="A27" s="2">
        <v>26</v>
      </c>
      <c r="B27" s="2" t="s">
        <v>45</v>
      </c>
      <c r="C27" s="2" t="s">
        <v>17</v>
      </c>
      <c r="D27" s="3">
        <v>44311</v>
      </c>
      <c r="E27" s="2">
        <v>177.39</v>
      </c>
      <c r="F27" s="4">
        <v>49173</v>
      </c>
      <c r="G27" s="5">
        <v>0.254</v>
      </c>
      <c r="H27" s="4">
        <v>49151</v>
      </c>
      <c r="I27" s="5">
        <v>0.31</v>
      </c>
      <c r="J27" s="4">
        <v>32695</v>
      </c>
      <c r="K27" s="5">
        <v>0.61299999999999999</v>
      </c>
      <c r="L27" s="4">
        <v>193920</v>
      </c>
      <c r="M27" s="2">
        <v>410.01</v>
      </c>
      <c r="N27" s="2">
        <v>2.46</v>
      </c>
      <c r="O27" s="2">
        <v>12.6</v>
      </c>
      <c r="P27" s="2">
        <v>14.3</v>
      </c>
      <c r="Q27" s="2">
        <v>27.51</v>
      </c>
    </row>
    <row r="28" spans="1:17" x14ac:dyDescent="0.25">
      <c r="A28" s="2">
        <v>27</v>
      </c>
      <c r="B28" s="2" t="s">
        <v>46</v>
      </c>
      <c r="C28" s="2" t="s">
        <v>17</v>
      </c>
      <c r="D28" s="3">
        <v>44311</v>
      </c>
      <c r="E28" s="2">
        <v>205.23</v>
      </c>
      <c r="F28" s="4">
        <v>26593</v>
      </c>
      <c r="G28" s="5">
        <v>0.25</v>
      </c>
      <c r="H28" s="4">
        <v>26590</v>
      </c>
      <c r="I28" s="5">
        <v>0.30099999999999999</v>
      </c>
      <c r="J28" s="4">
        <v>20532</v>
      </c>
      <c r="K28" s="5">
        <v>0.53600000000000003</v>
      </c>
      <c r="L28" s="4">
        <v>106221</v>
      </c>
      <c r="M28" s="2">
        <v>104.38</v>
      </c>
      <c r="N28" s="2">
        <v>2.44</v>
      </c>
      <c r="O28" s="2">
        <v>12.7</v>
      </c>
      <c r="P28" s="2">
        <v>19.2</v>
      </c>
      <c r="Q28" s="2">
        <v>36.049999999999997</v>
      </c>
    </row>
    <row r="29" spans="1:17" x14ac:dyDescent="0.25">
      <c r="A29" s="2">
        <v>28</v>
      </c>
      <c r="B29" s="2" t="s">
        <v>47</v>
      </c>
      <c r="C29" s="2" t="s">
        <v>17</v>
      </c>
      <c r="D29" s="3">
        <v>44311</v>
      </c>
      <c r="E29" s="2">
        <v>218.42</v>
      </c>
      <c r="F29" s="4">
        <v>351677</v>
      </c>
      <c r="G29" s="5">
        <v>0.23899999999999999</v>
      </c>
      <c r="H29" s="4">
        <v>351190</v>
      </c>
      <c r="I29" s="5">
        <v>0.30599999999999999</v>
      </c>
      <c r="J29" s="4">
        <v>132378</v>
      </c>
      <c r="K29" s="5">
        <v>0.61799999999999999</v>
      </c>
      <c r="L29" s="4">
        <v>1471968</v>
      </c>
      <c r="M29" s="7">
        <v>1440.39</v>
      </c>
      <c r="N29" s="2">
        <v>2.63</v>
      </c>
      <c r="O29" s="2">
        <v>13</v>
      </c>
      <c r="P29" s="2">
        <v>15.3</v>
      </c>
      <c r="Q29" s="2">
        <v>14.54</v>
      </c>
    </row>
    <row r="30" spans="1:17" x14ac:dyDescent="0.25">
      <c r="A30" s="2">
        <v>29</v>
      </c>
      <c r="B30" s="2" t="s">
        <v>48</v>
      </c>
      <c r="C30" s="2" t="s">
        <v>25</v>
      </c>
      <c r="D30" s="3">
        <v>44311</v>
      </c>
      <c r="E30" s="2" t="s">
        <v>26</v>
      </c>
      <c r="F30" s="4">
        <v>2752</v>
      </c>
      <c r="G30" s="5">
        <v>0.14000000000000001</v>
      </c>
      <c r="H30" s="4">
        <v>2750</v>
      </c>
      <c r="I30" s="5">
        <v>0.17599999999999999</v>
      </c>
      <c r="J30" s="4">
        <v>1757</v>
      </c>
      <c r="K30" s="5">
        <v>0.44800000000000001</v>
      </c>
      <c r="L30" s="4">
        <v>19617</v>
      </c>
      <c r="M30" s="2">
        <v>40.97</v>
      </c>
      <c r="N30" s="2">
        <v>2.5099999999999998</v>
      </c>
      <c r="O30" s="2">
        <v>18.899999999999999</v>
      </c>
      <c r="P30" s="2">
        <v>25.6</v>
      </c>
      <c r="Q30" s="2">
        <v>19.989999999999998</v>
      </c>
    </row>
    <row r="31" spans="1:17" x14ac:dyDescent="0.25">
      <c r="A31" s="2">
        <v>30</v>
      </c>
      <c r="B31" s="2" t="s">
        <v>49</v>
      </c>
      <c r="C31" s="2" t="s">
        <v>19</v>
      </c>
      <c r="D31" s="3">
        <v>44311</v>
      </c>
      <c r="E31" s="2">
        <v>98.17</v>
      </c>
      <c r="F31" s="4">
        <v>51738</v>
      </c>
      <c r="G31" s="5">
        <v>0.32400000000000001</v>
      </c>
      <c r="H31" s="4">
        <v>51721</v>
      </c>
      <c r="I31" s="5">
        <v>0.38300000000000001</v>
      </c>
      <c r="J31" s="4">
        <v>37189</v>
      </c>
      <c r="K31" s="5">
        <v>0.68700000000000006</v>
      </c>
      <c r="L31" s="4">
        <v>159923</v>
      </c>
      <c r="M31" s="2">
        <v>318.08</v>
      </c>
      <c r="N31" s="2">
        <v>2.6</v>
      </c>
      <c r="O31" s="2">
        <v>12.1</v>
      </c>
      <c r="P31" s="2">
        <v>12.2</v>
      </c>
      <c r="Q31" s="2">
        <v>33.85</v>
      </c>
    </row>
    <row r="32" spans="1:17" x14ac:dyDescent="0.25">
      <c r="A32" s="2">
        <v>31</v>
      </c>
      <c r="B32" s="2" t="s">
        <v>50</v>
      </c>
      <c r="C32" s="2" t="s">
        <v>19</v>
      </c>
      <c r="D32" s="3">
        <v>44311</v>
      </c>
      <c r="E32" s="2">
        <v>58.17</v>
      </c>
      <c r="F32" s="4">
        <v>9229</v>
      </c>
      <c r="G32" s="5">
        <v>0.19900000000000001</v>
      </c>
      <c r="H32" s="4">
        <v>9228</v>
      </c>
      <c r="I32" s="5">
        <v>0.245</v>
      </c>
      <c r="J32" s="4">
        <v>5324</v>
      </c>
      <c r="K32" s="5">
        <v>0.55600000000000005</v>
      </c>
      <c r="L32" s="4">
        <v>46414</v>
      </c>
      <c r="M32" s="2">
        <v>50.55</v>
      </c>
      <c r="N32" s="2">
        <v>2.4</v>
      </c>
      <c r="O32" s="2">
        <v>11.3</v>
      </c>
      <c r="P32" s="2">
        <v>20.6</v>
      </c>
      <c r="Q32" s="2">
        <v>20.62</v>
      </c>
    </row>
    <row r="33" spans="1:17" x14ac:dyDescent="0.25">
      <c r="A33" s="2">
        <v>32</v>
      </c>
      <c r="B33" s="2" t="s">
        <v>51</v>
      </c>
      <c r="C33" s="2" t="s">
        <v>17</v>
      </c>
      <c r="D33" s="3">
        <v>44311</v>
      </c>
      <c r="E33" s="2">
        <v>161.44999999999999</v>
      </c>
      <c r="F33" s="4">
        <v>4797</v>
      </c>
      <c r="G33" s="5">
        <v>0.33700000000000002</v>
      </c>
      <c r="H33" s="4">
        <v>4796</v>
      </c>
      <c r="I33" s="5">
        <v>0.40300000000000002</v>
      </c>
      <c r="J33" s="4">
        <v>3227</v>
      </c>
      <c r="K33" s="5">
        <v>0.91900000000000004</v>
      </c>
      <c r="L33" s="4">
        <v>14246</v>
      </c>
      <c r="M33" s="2">
        <v>23.82</v>
      </c>
      <c r="N33" s="2">
        <v>2.04</v>
      </c>
      <c r="O33" s="2">
        <v>6.4</v>
      </c>
      <c r="P33" s="2">
        <v>14.1</v>
      </c>
      <c r="Q33" s="2">
        <v>24.65</v>
      </c>
    </row>
    <row r="34" spans="1:17" x14ac:dyDescent="0.25">
      <c r="A34" s="2">
        <v>33</v>
      </c>
      <c r="B34" s="2" t="s">
        <v>52</v>
      </c>
      <c r="C34" s="2" t="s">
        <v>25</v>
      </c>
      <c r="D34" s="3">
        <v>44311</v>
      </c>
      <c r="E34" s="2" t="s">
        <v>26</v>
      </c>
      <c r="F34" s="4">
        <v>1386</v>
      </c>
      <c r="G34" s="6">
        <v>0.16500000000000001</v>
      </c>
      <c r="H34" s="4">
        <v>1386</v>
      </c>
      <c r="I34" s="6">
        <v>0.20599999999999999</v>
      </c>
      <c r="J34" s="4">
        <v>1070</v>
      </c>
      <c r="K34" s="5">
        <v>0.73499999999999999</v>
      </c>
      <c r="L34" s="4">
        <v>8422</v>
      </c>
      <c r="M34" s="2">
        <v>15.5</v>
      </c>
      <c r="N34" s="2">
        <v>3.43</v>
      </c>
      <c r="O34" s="2">
        <v>17.600000000000001</v>
      </c>
      <c r="P34" s="2">
        <v>20.100000000000001</v>
      </c>
      <c r="Q34" s="2">
        <v>17.28</v>
      </c>
    </row>
    <row r="35" spans="1:17" x14ac:dyDescent="0.25">
      <c r="A35" s="2">
        <v>34</v>
      </c>
      <c r="B35" s="2" t="s">
        <v>53</v>
      </c>
      <c r="C35" s="2" t="s">
        <v>17</v>
      </c>
      <c r="D35" s="3">
        <v>44311</v>
      </c>
      <c r="E35" s="2">
        <v>164.25</v>
      </c>
      <c r="F35" s="4">
        <v>119438</v>
      </c>
      <c r="G35" s="5">
        <v>0.32500000000000001</v>
      </c>
      <c r="H35" s="4">
        <v>119332</v>
      </c>
      <c r="I35" s="5">
        <v>0.40100000000000002</v>
      </c>
      <c r="J35" s="4">
        <v>77644</v>
      </c>
      <c r="K35" s="5">
        <v>0.78100000000000003</v>
      </c>
      <c r="L35" s="4">
        <v>367118</v>
      </c>
      <c r="M35" s="2">
        <v>386.13</v>
      </c>
      <c r="N35" s="2">
        <v>2.5499999999999998</v>
      </c>
      <c r="O35" s="2">
        <v>11.6</v>
      </c>
      <c r="P35" s="2">
        <v>12.5</v>
      </c>
      <c r="Q35" s="2">
        <v>27.07</v>
      </c>
    </row>
    <row r="36" spans="1:17" x14ac:dyDescent="0.25">
      <c r="A36" s="2">
        <v>35</v>
      </c>
      <c r="B36" s="2" t="s">
        <v>54</v>
      </c>
      <c r="C36" s="2" t="s">
        <v>17</v>
      </c>
      <c r="D36" s="3">
        <v>44311</v>
      </c>
      <c r="E36" s="2">
        <v>211.53</v>
      </c>
      <c r="F36" s="4">
        <v>213318</v>
      </c>
      <c r="G36" s="5">
        <v>0.27700000000000002</v>
      </c>
      <c r="H36" s="4">
        <v>213262</v>
      </c>
      <c r="I36" s="5">
        <v>0.33500000000000002</v>
      </c>
      <c r="J36" s="4">
        <v>151054</v>
      </c>
      <c r="K36" s="5">
        <v>0.67200000000000004</v>
      </c>
      <c r="L36" s="4">
        <v>770577</v>
      </c>
      <c r="M36" s="2">
        <v>986.08</v>
      </c>
      <c r="N36" s="2">
        <v>2.61</v>
      </c>
      <c r="O36" s="2">
        <v>14.3</v>
      </c>
      <c r="P36" s="2">
        <v>14</v>
      </c>
      <c r="Q36" s="2">
        <v>29.15</v>
      </c>
    </row>
    <row r="37" spans="1:17" x14ac:dyDescent="0.25">
      <c r="A37" s="2">
        <v>36</v>
      </c>
      <c r="B37" s="2" t="s">
        <v>55</v>
      </c>
      <c r="C37" s="2" t="s">
        <v>17</v>
      </c>
      <c r="D37" s="3">
        <v>44311</v>
      </c>
      <c r="E37" s="2">
        <v>101.5</v>
      </c>
      <c r="F37" s="4">
        <v>77473</v>
      </c>
      <c r="G37" s="5">
        <v>0.26400000000000001</v>
      </c>
      <c r="H37" s="4">
        <v>77328</v>
      </c>
      <c r="I37" s="5">
        <v>0.32400000000000001</v>
      </c>
      <c r="J37" s="4">
        <v>31933</v>
      </c>
      <c r="K37" s="5">
        <v>0.78300000000000003</v>
      </c>
      <c r="L37" s="4">
        <v>293582</v>
      </c>
      <c r="M37" s="2">
        <v>440.23</v>
      </c>
      <c r="N37" s="2">
        <v>2.4300000000000002</v>
      </c>
      <c r="O37" s="2">
        <v>8.1999999999999993</v>
      </c>
      <c r="P37" s="2">
        <v>20.399999999999999</v>
      </c>
      <c r="Q37" s="2">
        <v>13.89</v>
      </c>
    </row>
    <row r="38" spans="1:17" x14ac:dyDescent="0.25">
      <c r="A38" s="2">
        <v>37</v>
      </c>
      <c r="B38" s="2" t="s">
        <v>56</v>
      </c>
      <c r="C38" s="2" t="s">
        <v>17</v>
      </c>
      <c r="D38" s="3">
        <v>44311</v>
      </c>
      <c r="E38" s="2">
        <v>204.8</v>
      </c>
      <c r="F38" s="4">
        <v>8313</v>
      </c>
      <c r="G38" s="5">
        <v>0.2</v>
      </c>
      <c r="H38" s="4">
        <v>8307</v>
      </c>
      <c r="I38" s="6">
        <v>0.248</v>
      </c>
      <c r="J38" s="4">
        <v>5595</v>
      </c>
      <c r="K38" s="5">
        <v>0.53600000000000003</v>
      </c>
      <c r="L38" s="4">
        <v>41503</v>
      </c>
      <c r="M38" s="2">
        <v>37.119999999999997</v>
      </c>
      <c r="N38" s="2">
        <v>2.41</v>
      </c>
      <c r="O38" s="2">
        <v>15.5</v>
      </c>
      <c r="P38" s="2">
        <v>20.7</v>
      </c>
      <c r="Q38" s="2">
        <v>25.15</v>
      </c>
    </row>
    <row r="39" spans="1:17" x14ac:dyDescent="0.25">
      <c r="A39" s="2">
        <v>38</v>
      </c>
      <c r="B39" s="2" t="s">
        <v>57</v>
      </c>
      <c r="C39" s="2" t="s">
        <v>25</v>
      </c>
      <c r="D39" s="3">
        <v>44311</v>
      </c>
      <c r="E39" s="2" t="s">
        <v>26</v>
      </c>
      <c r="F39" s="4">
        <v>1210</v>
      </c>
      <c r="G39" s="6">
        <v>0.14499999999999999</v>
      </c>
      <c r="H39" s="4">
        <v>1210</v>
      </c>
      <c r="I39" s="6">
        <v>0.17499999999999999</v>
      </c>
      <c r="J39" s="2">
        <v>715</v>
      </c>
      <c r="K39" s="5">
        <v>0.56899999999999995</v>
      </c>
      <c r="L39" s="4">
        <v>8354</v>
      </c>
      <c r="M39" s="2">
        <v>10</v>
      </c>
      <c r="N39" s="2">
        <v>2.9</v>
      </c>
      <c r="O39" s="2">
        <v>18.5</v>
      </c>
      <c r="P39" s="2">
        <v>13</v>
      </c>
      <c r="Q39" s="2">
        <v>15.04</v>
      </c>
    </row>
    <row r="40" spans="1:17" x14ac:dyDescent="0.25">
      <c r="A40" s="2">
        <v>39</v>
      </c>
      <c r="B40" s="2" t="s">
        <v>58</v>
      </c>
      <c r="C40" s="2" t="s">
        <v>25</v>
      </c>
      <c r="D40" s="3">
        <v>44311</v>
      </c>
      <c r="E40" s="2" t="s">
        <v>26</v>
      </c>
      <c r="F40" s="4">
        <v>3999</v>
      </c>
      <c r="G40" s="5">
        <v>0.216</v>
      </c>
      <c r="H40" s="4">
        <v>3998</v>
      </c>
      <c r="I40" s="5">
        <v>0.26500000000000001</v>
      </c>
      <c r="J40" s="4">
        <v>2457</v>
      </c>
      <c r="K40" s="5">
        <v>0.63</v>
      </c>
      <c r="L40" s="4">
        <v>18493</v>
      </c>
      <c r="M40" s="2">
        <v>26.55</v>
      </c>
      <c r="N40" s="2">
        <v>2.4500000000000002</v>
      </c>
      <c r="O40" s="2">
        <v>13.1</v>
      </c>
      <c r="P40" s="2">
        <v>28.2</v>
      </c>
      <c r="Q40" s="2">
        <v>21.1</v>
      </c>
    </row>
    <row r="41" spans="1:17" x14ac:dyDescent="0.25">
      <c r="A41" s="2">
        <v>40</v>
      </c>
      <c r="B41" s="2" t="s">
        <v>59</v>
      </c>
      <c r="C41" s="2" t="s">
        <v>17</v>
      </c>
      <c r="D41" s="3">
        <v>44311</v>
      </c>
      <c r="E41" s="2">
        <v>174.83</v>
      </c>
      <c r="F41" s="4">
        <v>113109</v>
      </c>
      <c r="G41" s="5">
        <v>0.28000000000000003</v>
      </c>
      <c r="H41" s="4">
        <v>113065</v>
      </c>
      <c r="I41" s="5">
        <v>0.34200000000000003</v>
      </c>
      <c r="J41" s="4">
        <v>74810</v>
      </c>
      <c r="K41" s="5">
        <v>0.66100000000000003</v>
      </c>
      <c r="L41" s="4">
        <v>403253</v>
      </c>
      <c r="M41" s="2">
        <v>542.28</v>
      </c>
      <c r="N41" s="2">
        <v>2.57</v>
      </c>
      <c r="O41" s="2">
        <v>12.7</v>
      </c>
      <c r="P41" s="2">
        <v>12.5</v>
      </c>
      <c r="Q41" s="2">
        <v>28.06</v>
      </c>
    </row>
    <row r="42" spans="1:17" x14ac:dyDescent="0.25">
      <c r="A42" s="2">
        <v>41</v>
      </c>
      <c r="B42" s="2" t="s">
        <v>60</v>
      </c>
      <c r="C42" s="2" t="s">
        <v>17</v>
      </c>
      <c r="D42" s="3">
        <v>44311</v>
      </c>
      <c r="E42" s="2">
        <v>117.62</v>
      </c>
      <c r="F42" s="4">
        <v>98576</v>
      </c>
      <c r="G42" s="5">
        <v>0.27</v>
      </c>
      <c r="H42" s="4">
        <v>98534</v>
      </c>
      <c r="I42" s="5">
        <v>0.33100000000000002</v>
      </c>
      <c r="J42" s="4">
        <v>67367</v>
      </c>
      <c r="K42" s="5">
        <v>0.63200000000000001</v>
      </c>
      <c r="L42" s="4">
        <v>365579</v>
      </c>
      <c r="M42" s="2">
        <v>230.15</v>
      </c>
      <c r="N42" s="2">
        <v>2.48</v>
      </c>
      <c r="O42" s="2">
        <v>12.3</v>
      </c>
      <c r="P42" s="2">
        <v>16.600000000000001</v>
      </c>
      <c r="Q42" s="2">
        <v>29.18</v>
      </c>
    </row>
    <row r="43" spans="1:17" x14ac:dyDescent="0.25">
      <c r="A43" s="2">
        <v>42</v>
      </c>
      <c r="B43" s="2" t="s">
        <v>61</v>
      </c>
      <c r="C43" s="2" t="s">
        <v>19</v>
      </c>
      <c r="D43" s="3">
        <v>44311</v>
      </c>
      <c r="E43" s="2">
        <v>95.65</v>
      </c>
      <c r="F43" s="4">
        <v>52082</v>
      </c>
      <c r="G43" s="5">
        <v>0.32300000000000001</v>
      </c>
      <c r="H43" s="4">
        <v>52060</v>
      </c>
      <c r="I43" s="5">
        <v>0.38600000000000001</v>
      </c>
      <c r="J43" s="4">
        <v>37100</v>
      </c>
      <c r="K43" s="6">
        <v>0.73099999999999998</v>
      </c>
      <c r="L43" s="4">
        <v>161000</v>
      </c>
      <c r="M43" s="2">
        <v>296.05</v>
      </c>
      <c r="N43" s="2">
        <v>2.41</v>
      </c>
      <c r="O43" s="2">
        <v>11.5</v>
      </c>
      <c r="P43" s="2">
        <v>10.5</v>
      </c>
      <c r="Q43" s="2">
        <v>31.53</v>
      </c>
    </row>
    <row r="44" spans="1:17" x14ac:dyDescent="0.25">
      <c r="A44" s="2">
        <v>43</v>
      </c>
      <c r="B44" s="2" t="s">
        <v>62</v>
      </c>
      <c r="C44" s="2" t="s">
        <v>17</v>
      </c>
      <c r="D44" s="3">
        <v>44311</v>
      </c>
      <c r="E44" s="2">
        <v>324.7</v>
      </c>
      <c r="F44" s="4">
        <v>753402</v>
      </c>
      <c r="G44" s="5">
        <v>0.27700000000000002</v>
      </c>
      <c r="H44" s="4">
        <v>751614</v>
      </c>
      <c r="I44" s="5">
        <v>0.34699999999999998</v>
      </c>
      <c r="J44" s="4">
        <v>305572</v>
      </c>
      <c r="K44" s="5">
        <v>0.67500000000000004</v>
      </c>
      <c r="L44" s="4">
        <v>2716940</v>
      </c>
      <c r="M44" s="7">
        <v>1430.09</v>
      </c>
      <c r="N44" s="2">
        <v>3.07</v>
      </c>
      <c r="O44" s="2">
        <v>18.100000000000001</v>
      </c>
      <c r="P44" s="2">
        <v>18</v>
      </c>
      <c r="Q44" s="2">
        <v>16.66</v>
      </c>
    </row>
    <row r="45" spans="1:17" x14ac:dyDescent="0.25">
      <c r="A45" s="2">
        <v>44</v>
      </c>
      <c r="B45" s="2" t="s">
        <v>63</v>
      </c>
      <c r="C45" s="2" t="s">
        <v>17</v>
      </c>
      <c r="D45" s="3">
        <v>44311</v>
      </c>
      <c r="E45" s="2">
        <v>122.6</v>
      </c>
      <c r="F45" s="4">
        <v>24535</v>
      </c>
      <c r="G45" s="5">
        <v>0.33100000000000002</v>
      </c>
      <c r="H45" s="4">
        <v>24525</v>
      </c>
      <c r="I45" s="6">
        <v>0.38900000000000001</v>
      </c>
      <c r="J45" s="4">
        <v>13994</v>
      </c>
      <c r="K45" s="6">
        <v>0.79400000000000004</v>
      </c>
      <c r="L45" s="4">
        <v>74228</v>
      </c>
      <c r="M45" s="2">
        <v>75.510000000000005</v>
      </c>
      <c r="N45" s="2">
        <v>2.39</v>
      </c>
      <c r="O45" s="2">
        <v>17.8</v>
      </c>
      <c r="P45" s="2">
        <v>11.8</v>
      </c>
      <c r="Q45" s="2">
        <v>23.75</v>
      </c>
    </row>
    <row r="46" spans="1:17" x14ac:dyDescent="0.25">
      <c r="A46" s="2">
        <v>45</v>
      </c>
      <c r="B46" s="2" t="s">
        <v>64</v>
      </c>
      <c r="C46" s="2" t="s">
        <v>17</v>
      </c>
      <c r="D46" s="3">
        <v>44311</v>
      </c>
      <c r="E46" s="2">
        <v>113.96</v>
      </c>
      <c r="F46" s="4">
        <v>27201</v>
      </c>
      <c r="G46" s="5">
        <v>0.307</v>
      </c>
      <c r="H46" s="4">
        <v>27183</v>
      </c>
      <c r="I46" s="5">
        <v>0.38200000000000001</v>
      </c>
      <c r="J46" s="4">
        <v>15822</v>
      </c>
      <c r="K46" s="5">
        <v>0.78200000000000003</v>
      </c>
      <c r="L46" s="4">
        <v>88625</v>
      </c>
      <c r="M46" s="2">
        <v>136.62</v>
      </c>
      <c r="N46" s="2">
        <v>2.5499999999999998</v>
      </c>
      <c r="O46" s="2">
        <v>11</v>
      </c>
      <c r="P46" s="2">
        <v>10.199999999999999</v>
      </c>
      <c r="Q46" s="2">
        <v>22.83</v>
      </c>
    </row>
    <row r="47" spans="1:17" x14ac:dyDescent="0.25">
      <c r="A47" s="2">
        <v>46</v>
      </c>
      <c r="B47" s="2" t="s">
        <v>65</v>
      </c>
      <c r="C47" s="2" t="s">
        <v>19</v>
      </c>
      <c r="D47" s="3">
        <v>44311</v>
      </c>
      <c r="E47" s="2">
        <v>79.72</v>
      </c>
      <c r="F47" s="4">
        <v>48681</v>
      </c>
      <c r="G47" s="6">
        <v>0.23100000000000001</v>
      </c>
      <c r="H47" s="4">
        <v>48651</v>
      </c>
      <c r="I47" s="5">
        <v>0.29699999999999999</v>
      </c>
      <c r="J47" s="4">
        <v>24777</v>
      </c>
      <c r="K47" s="5">
        <v>0.72099999999999997</v>
      </c>
      <c r="L47" s="4">
        <v>210738</v>
      </c>
      <c r="M47" s="2">
        <v>226.55</v>
      </c>
      <c r="N47" s="2">
        <v>2.52</v>
      </c>
      <c r="O47" s="2">
        <v>12.2</v>
      </c>
      <c r="P47" s="2">
        <v>11.5</v>
      </c>
      <c r="Q47" s="2">
        <v>16.309999999999999</v>
      </c>
    </row>
    <row r="48" spans="1:17" x14ac:dyDescent="0.25">
      <c r="A48" s="2">
        <v>47</v>
      </c>
      <c r="B48" s="2" t="s">
        <v>66</v>
      </c>
      <c r="C48" s="2" t="s">
        <v>17</v>
      </c>
      <c r="D48" s="3">
        <v>44311</v>
      </c>
      <c r="E48" s="2">
        <v>111.46</v>
      </c>
      <c r="F48" s="4">
        <v>7881</v>
      </c>
      <c r="G48" s="5">
        <v>0.187</v>
      </c>
      <c r="H48" s="4">
        <v>7879</v>
      </c>
      <c r="I48" s="5">
        <v>0.23699999999999999</v>
      </c>
      <c r="J48" s="4">
        <v>5572</v>
      </c>
      <c r="K48" s="6">
        <v>0.65700000000000003</v>
      </c>
      <c r="L48" s="4">
        <v>42168</v>
      </c>
      <c r="M48" s="2">
        <v>54.82</v>
      </c>
      <c r="N48" s="2">
        <v>2.73</v>
      </c>
      <c r="O48" s="2">
        <v>18.100000000000001</v>
      </c>
      <c r="P48" s="2">
        <v>22.7</v>
      </c>
      <c r="Q48" s="2">
        <v>20.12</v>
      </c>
    </row>
    <row r="49" spans="1:17" x14ac:dyDescent="0.25">
      <c r="A49" s="2">
        <v>48</v>
      </c>
      <c r="B49" s="2" t="s">
        <v>67</v>
      </c>
      <c r="C49" s="2" t="s">
        <v>17</v>
      </c>
      <c r="D49" s="3">
        <v>44311</v>
      </c>
      <c r="E49" s="2">
        <v>192.69</v>
      </c>
      <c r="F49" s="4">
        <v>340748</v>
      </c>
      <c r="G49" s="5">
        <v>0.245</v>
      </c>
      <c r="H49" s="4">
        <v>339971</v>
      </c>
      <c r="I49" s="5">
        <v>0.313</v>
      </c>
      <c r="J49" s="4">
        <v>119798</v>
      </c>
      <c r="K49" s="5">
        <v>0.69799999999999995</v>
      </c>
      <c r="L49" s="4">
        <v>1393452</v>
      </c>
      <c r="M49" s="7">
        <v>1545.08</v>
      </c>
      <c r="N49" s="2">
        <v>2.81</v>
      </c>
      <c r="O49" s="2">
        <v>14.5</v>
      </c>
      <c r="P49" s="2">
        <v>16.100000000000001</v>
      </c>
      <c r="Q49" s="2">
        <v>12.31</v>
      </c>
    </row>
    <row r="50" spans="1:17" x14ac:dyDescent="0.25">
      <c r="A50" s="2">
        <v>49</v>
      </c>
      <c r="B50" s="2" t="s">
        <v>68</v>
      </c>
      <c r="C50" s="2" t="s">
        <v>17</v>
      </c>
      <c r="D50" s="3">
        <v>44311</v>
      </c>
      <c r="E50" s="2">
        <v>284.5</v>
      </c>
      <c r="F50" s="4">
        <v>82525</v>
      </c>
      <c r="G50" s="5">
        <v>0.22</v>
      </c>
      <c r="H50" s="4">
        <v>82429</v>
      </c>
      <c r="I50" s="5">
        <v>0.28899999999999998</v>
      </c>
      <c r="J50" s="4">
        <v>35864</v>
      </c>
      <c r="K50" s="5">
        <v>0.70599999999999996</v>
      </c>
      <c r="L50" s="4">
        <v>375751</v>
      </c>
      <c r="M50" s="2">
        <v>283.04000000000002</v>
      </c>
      <c r="N50" s="2">
        <v>3.4</v>
      </c>
      <c r="O50" s="2">
        <v>15.8</v>
      </c>
      <c r="P50" s="2">
        <v>16.3</v>
      </c>
      <c r="Q50" s="2">
        <v>13.52</v>
      </c>
    </row>
    <row r="51" spans="1:17" x14ac:dyDescent="0.25">
      <c r="A51" s="2">
        <v>50</v>
      </c>
      <c r="B51" s="2" t="s">
        <v>69</v>
      </c>
      <c r="C51" s="2" t="s">
        <v>17</v>
      </c>
      <c r="D51" s="3">
        <v>44311</v>
      </c>
      <c r="E51" s="2">
        <v>175.71</v>
      </c>
      <c r="F51" s="4">
        <v>426249</v>
      </c>
      <c r="G51" s="5">
        <v>0.28499999999999998</v>
      </c>
      <c r="H51" s="4">
        <v>425733</v>
      </c>
      <c r="I51" s="5">
        <v>0.35099999999999998</v>
      </c>
      <c r="J51" s="4">
        <v>251641</v>
      </c>
      <c r="K51" s="5">
        <v>0.69</v>
      </c>
      <c r="L51" s="4">
        <v>1496770</v>
      </c>
      <c r="M51" s="2">
        <v>761.99</v>
      </c>
      <c r="N51" s="2">
        <v>2.6</v>
      </c>
      <c r="O51" s="2">
        <v>13.6</v>
      </c>
      <c r="P51" s="2">
        <v>12.8</v>
      </c>
      <c r="Q51" s="2">
        <v>24.36</v>
      </c>
    </row>
    <row r="52" spans="1:17" x14ac:dyDescent="0.25">
      <c r="A52" s="2">
        <v>51</v>
      </c>
      <c r="B52" s="2" t="s">
        <v>70</v>
      </c>
      <c r="C52" s="2" t="s">
        <v>17</v>
      </c>
      <c r="D52" s="3">
        <v>44311</v>
      </c>
      <c r="E52" s="2">
        <v>195.69</v>
      </c>
      <c r="F52" s="4">
        <v>136317</v>
      </c>
      <c r="G52" s="5">
        <v>0.246</v>
      </c>
      <c r="H52" s="4">
        <v>136204</v>
      </c>
      <c r="I52" s="5">
        <v>0.308</v>
      </c>
      <c r="J52" s="4">
        <v>78074</v>
      </c>
      <c r="K52" s="5">
        <v>0.622</v>
      </c>
      <c r="L52" s="4">
        <v>553947</v>
      </c>
      <c r="M52" s="2">
        <v>741.98</v>
      </c>
      <c r="N52" s="2">
        <v>2.52</v>
      </c>
      <c r="O52" s="2">
        <v>11.8</v>
      </c>
      <c r="P52" s="2">
        <v>13.5</v>
      </c>
      <c r="Q52" s="2">
        <v>22.65</v>
      </c>
    </row>
    <row r="53" spans="1:17" x14ac:dyDescent="0.25">
      <c r="A53" s="2">
        <v>52</v>
      </c>
      <c r="B53" s="2" t="s">
        <v>71</v>
      </c>
      <c r="C53" s="2" t="s">
        <v>17</v>
      </c>
      <c r="D53" s="3">
        <v>44311</v>
      </c>
      <c r="E53" s="2">
        <v>144.62</v>
      </c>
      <c r="F53" s="4">
        <v>305101</v>
      </c>
      <c r="G53" s="5">
        <v>0.313</v>
      </c>
      <c r="H53" s="4">
        <v>304863</v>
      </c>
      <c r="I53" s="5">
        <v>0.372</v>
      </c>
      <c r="J53" s="4">
        <v>164443</v>
      </c>
      <c r="K53" s="5">
        <v>0.66400000000000003</v>
      </c>
      <c r="L53" s="4">
        <v>974996</v>
      </c>
      <c r="M53" s="7">
        <v>3561.28</v>
      </c>
      <c r="N53" s="2">
        <v>2.31</v>
      </c>
      <c r="O53" s="2">
        <v>11.5</v>
      </c>
      <c r="P53" s="2">
        <v>13</v>
      </c>
      <c r="Q53" s="2">
        <v>25.4</v>
      </c>
    </row>
    <row r="54" spans="1:17" x14ac:dyDescent="0.25">
      <c r="A54" s="2">
        <v>53</v>
      </c>
      <c r="B54" s="2" t="s">
        <v>72</v>
      </c>
      <c r="C54" s="2" t="s">
        <v>17</v>
      </c>
      <c r="D54" s="3">
        <v>44311</v>
      </c>
      <c r="E54" s="2">
        <v>214.41</v>
      </c>
      <c r="F54" s="4">
        <v>152979</v>
      </c>
      <c r="G54" s="5">
        <v>0.21099999999999999</v>
      </c>
      <c r="H54" s="4">
        <v>152868</v>
      </c>
      <c r="I54" s="5">
        <v>0.27</v>
      </c>
      <c r="J54" s="4">
        <v>89508</v>
      </c>
      <c r="K54" s="5">
        <v>0.60399999999999998</v>
      </c>
      <c r="L54" s="4">
        <v>724777</v>
      </c>
      <c r="M54" s="2">
        <v>403.21</v>
      </c>
      <c r="N54" s="2">
        <v>2.84</v>
      </c>
      <c r="O54" s="2">
        <v>13.2</v>
      </c>
      <c r="P54" s="2">
        <v>16.600000000000001</v>
      </c>
      <c r="Q54" s="2">
        <v>20.440000000000001</v>
      </c>
    </row>
    <row r="55" spans="1:17" x14ac:dyDescent="0.25">
      <c r="A55" s="2">
        <v>54</v>
      </c>
      <c r="B55" s="2" t="s">
        <v>73</v>
      </c>
      <c r="C55" s="2" t="s">
        <v>17</v>
      </c>
      <c r="D55" s="3">
        <v>44311</v>
      </c>
      <c r="E55" s="2">
        <v>151.63999999999999</v>
      </c>
      <c r="F55" s="4">
        <v>12636</v>
      </c>
      <c r="G55" s="5">
        <v>0.17</v>
      </c>
      <c r="H55" s="4">
        <v>12633</v>
      </c>
      <c r="I55" s="5">
        <v>0.215</v>
      </c>
      <c r="J55" s="4">
        <v>8221</v>
      </c>
      <c r="K55" s="5">
        <v>0.46500000000000002</v>
      </c>
      <c r="L55" s="4">
        <v>74521</v>
      </c>
      <c r="M55" s="2">
        <v>102.38</v>
      </c>
      <c r="N55" s="2">
        <v>2.52</v>
      </c>
      <c r="O55" s="2">
        <v>16</v>
      </c>
      <c r="P55" s="2">
        <v>24.8</v>
      </c>
      <c r="Q55" s="2">
        <v>23.72</v>
      </c>
    </row>
    <row r="56" spans="1:17" x14ac:dyDescent="0.25">
      <c r="A56" s="2">
        <v>55</v>
      </c>
      <c r="B56" s="2" t="s">
        <v>74</v>
      </c>
      <c r="C56" s="2" t="s">
        <v>19</v>
      </c>
      <c r="D56" s="3">
        <v>44311</v>
      </c>
      <c r="E56" s="2">
        <v>56.43</v>
      </c>
      <c r="F56" s="4">
        <v>38102</v>
      </c>
      <c r="G56" s="5">
        <v>0.20699999999999999</v>
      </c>
      <c r="H56" s="4">
        <v>38063</v>
      </c>
      <c r="I56" s="5">
        <v>0.26400000000000001</v>
      </c>
      <c r="J56" s="4">
        <v>20410</v>
      </c>
      <c r="K56" s="5">
        <v>0.67800000000000005</v>
      </c>
      <c r="L56" s="4">
        <v>184313</v>
      </c>
      <c r="M56" s="2">
        <v>182.06</v>
      </c>
      <c r="N56" s="2">
        <v>2.68</v>
      </c>
      <c r="O56" s="2">
        <v>10</v>
      </c>
      <c r="P56" s="2">
        <v>9.8000000000000007</v>
      </c>
      <c r="Q56" s="2">
        <v>16.34</v>
      </c>
    </row>
    <row r="57" spans="1:17" x14ac:dyDescent="0.25">
      <c r="A57" s="2">
        <v>56</v>
      </c>
      <c r="B57" s="2" t="s">
        <v>75</v>
      </c>
      <c r="C57" s="2" t="s">
        <v>17</v>
      </c>
      <c r="D57" s="3">
        <v>44311</v>
      </c>
      <c r="E57" s="2">
        <v>168.3</v>
      </c>
      <c r="F57" s="4">
        <v>160778</v>
      </c>
      <c r="G57" s="5">
        <v>0.371</v>
      </c>
      <c r="H57" s="4">
        <v>160695</v>
      </c>
      <c r="I57" s="5">
        <v>0.43099999999999999</v>
      </c>
      <c r="J57" s="4">
        <v>117198</v>
      </c>
      <c r="K57" s="5">
        <v>0.72399999999999998</v>
      </c>
      <c r="L57" s="4">
        <v>433742</v>
      </c>
      <c r="M57" s="2">
        <v>780.13</v>
      </c>
      <c r="N57" s="2">
        <v>2.25</v>
      </c>
      <c r="O57" s="2">
        <v>11.4</v>
      </c>
      <c r="P57" s="2">
        <v>9.6999999999999993</v>
      </c>
      <c r="Q57" s="2">
        <v>37.340000000000003</v>
      </c>
    </row>
    <row r="58" spans="1:17" x14ac:dyDescent="0.25">
      <c r="A58" s="2">
        <v>57</v>
      </c>
      <c r="B58" s="2" t="s">
        <v>76</v>
      </c>
      <c r="C58" s="2" t="s">
        <v>17</v>
      </c>
      <c r="D58" s="3">
        <v>44311</v>
      </c>
      <c r="E58" s="2">
        <v>203.04</v>
      </c>
      <c r="F58" s="4">
        <v>112909</v>
      </c>
      <c r="G58" s="5">
        <v>0.23899999999999999</v>
      </c>
      <c r="H58" s="4">
        <v>112695</v>
      </c>
      <c r="I58" s="5">
        <v>0.30199999999999999</v>
      </c>
      <c r="J58" s="4">
        <v>49055</v>
      </c>
      <c r="K58" s="5">
        <v>0.65100000000000002</v>
      </c>
      <c r="L58" s="4">
        <v>471826</v>
      </c>
      <c r="M58" s="7">
        <v>1525.34</v>
      </c>
      <c r="N58" s="2">
        <v>2.7</v>
      </c>
      <c r="O58" s="2">
        <v>10.4</v>
      </c>
      <c r="P58" s="2">
        <v>11.4</v>
      </c>
      <c r="Q58" s="2">
        <v>15.98</v>
      </c>
    </row>
    <row r="59" spans="1:17" x14ac:dyDescent="0.25">
      <c r="A59" s="2">
        <v>58</v>
      </c>
      <c r="B59" s="2" t="s">
        <v>77</v>
      </c>
      <c r="C59" s="2" t="s">
        <v>17</v>
      </c>
      <c r="D59" s="3">
        <v>44311</v>
      </c>
      <c r="E59" s="2">
        <v>120.9</v>
      </c>
      <c r="F59" s="4">
        <v>93492</v>
      </c>
      <c r="G59" s="5">
        <v>0.35299999999999998</v>
      </c>
      <c r="H59" s="4">
        <v>93298</v>
      </c>
      <c r="I59" s="5">
        <v>0.45</v>
      </c>
      <c r="J59" s="4">
        <v>46122</v>
      </c>
      <c r="K59" s="5">
        <v>0.84399999999999997</v>
      </c>
      <c r="L59" s="4">
        <v>264672</v>
      </c>
      <c r="M59" s="2">
        <v>440.71</v>
      </c>
      <c r="N59" s="2">
        <v>2.7</v>
      </c>
      <c r="O59" s="2">
        <v>8.4</v>
      </c>
      <c r="P59" s="2">
        <v>8.4</v>
      </c>
      <c r="Q59" s="2">
        <v>20.65</v>
      </c>
    </row>
    <row r="60" spans="1:17" x14ac:dyDescent="0.25">
      <c r="A60" s="2">
        <v>59</v>
      </c>
      <c r="B60" s="2" t="s">
        <v>78</v>
      </c>
      <c r="C60" s="2" t="s">
        <v>17</v>
      </c>
      <c r="D60" s="3">
        <v>44311</v>
      </c>
      <c r="E60" s="2">
        <v>142.86000000000001</v>
      </c>
      <c r="F60" s="4">
        <v>76623</v>
      </c>
      <c r="G60" s="5">
        <v>0.23300000000000001</v>
      </c>
      <c r="H60" s="4">
        <v>76597</v>
      </c>
      <c r="I60" s="5">
        <v>0.28999999999999998</v>
      </c>
      <c r="J60" s="4">
        <v>49637</v>
      </c>
      <c r="K60" s="5">
        <v>0.61299999999999999</v>
      </c>
      <c r="L60" s="4">
        <v>328297</v>
      </c>
      <c r="M60" s="2">
        <v>574.29999999999995</v>
      </c>
      <c r="N60" s="2">
        <v>2.68</v>
      </c>
      <c r="O60" s="2">
        <v>14</v>
      </c>
      <c r="P60" s="2">
        <v>15</v>
      </c>
      <c r="Q60" s="2">
        <v>24.65</v>
      </c>
    </row>
    <row r="61" spans="1:17" x14ac:dyDescent="0.25">
      <c r="A61" s="2">
        <v>60</v>
      </c>
      <c r="B61" s="2" t="s">
        <v>79</v>
      </c>
      <c r="C61" s="2" t="s">
        <v>19</v>
      </c>
      <c r="D61" s="3">
        <v>44311</v>
      </c>
      <c r="E61" s="2">
        <v>78.540000000000006</v>
      </c>
      <c r="F61" s="4">
        <v>74138</v>
      </c>
      <c r="G61" s="5">
        <v>0.56000000000000005</v>
      </c>
      <c r="H61" s="4">
        <v>74127</v>
      </c>
      <c r="I61" s="5">
        <v>0.60299999999999998</v>
      </c>
      <c r="J61" s="4">
        <v>62802</v>
      </c>
      <c r="K61" s="5">
        <v>0.81499999999999995</v>
      </c>
      <c r="L61" s="4">
        <v>132420</v>
      </c>
      <c r="M61" s="2">
        <v>237.68</v>
      </c>
      <c r="N61" s="2">
        <v>2.04</v>
      </c>
      <c r="O61" s="2">
        <v>6.2</v>
      </c>
      <c r="P61" s="2">
        <v>8.8000000000000007</v>
      </c>
      <c r="Q61" s="2">
        <v>58.17</v>
      </c>
    </row>
    <row r="62" spans="1:17" x14ac:dyDescent="0.25">
      <c r="A62" s="2">
        <v>61</v>
      </c>
      <c r="B62" s="2" t="s">
        <v>80</v>
      </c>
      <c r="C62" s="2" t="s">
        <v>25</v>
      </c>
      <c r="D62" s="3">
        <v>44311</v>
      </c>
      <c r="E62" s="2">
        <v>45.03</v>
      </c>
      <c r="F62" s="4">
        <v>7960</v>
      </c>
      <c r="G62" s="5">
        <v>0.17899999999999999</v>
      </c>
      <c r="H62" s="4">
        <v>7958</v>
      </c>
      <c r="I62" s="5">
        <v>0.22700000000000001</v>
      </c>
      <c r="J62" s="4">
        <v>5297</v>
      </c>
      <c r="K62" s="5">
        <v>0.54900000000000004</v>
      </c>
      <c r="L62" s="4">
        <v>44417</v>
      </c>
      <c r="M62" s="2">
        <v>64.510000000000005</v>
      </c>
      <c r="N62" s="2">
        <v>2.81</v>
      </c>
      <c r="O62" s="2">
        <v>13.9</v>
      </c>
      <c r="P62" s="2">
        <v>17.8</v>
      </c>
      <c r="Q62" s="2">
        <v>21.73</v>
      </c>
    </row>
    <row r="63" spans="1:17" x14ac:dyDescent="0.25">
      <c r="A63" s="2">
        <v>62</v>
      </c>
      <c r="B63" s="2" t="s">
        <v>81</v>
      </c>
      <c r="C63" s="2" t="s">
        <v>115</v>
      </c>
      <c r="D63" s="3">
        <v>44311</v>
      </c>
      <c r="E63" s="2" t="s">
        <v>26</v>
      </c>
      <c r="F63" s="4">
        <v>3593</v>
      </c>
      <c r="G63" s="5">
        <v>0.16700000000000001</v>
      </c>
      <c r="H63" s="4">
        <v>3589</v>
      </c>
      <c r="I63" s="5">
        <v>0.20699999999999999</v>
      </c>
      <c r="J63" s="4">
        <v>2352</v>
      </c>
      <c r="K63" s="5">
        <v>0.52</v>
      </c>
      <c r="L63" s="4">
        <v>21569</v>
      </c>
      <c r="M63" s="2">
        <v>20.67</v>
      </c>
      <c r="N63" s="2">
        <v>2.4700000000000002</v>
      </c>
      <c r="O63" s="2">
        <v>10.9</v>
      </c>
      <c r="P63" s="2">
        <v>19.8</v>
      </c>
      <c r="Q63" s="2">
        <v>20.98</v>
      </c>
    </row>
    <row r="64" spans="1:17" x14ac:dyDescent="0.25">
      <c r="A64" s="2">
        <v>63</v>
      </c>
      <c r="B64" s="2" t="s">
        <v>82</v>
      </c>
      <c r="C64" s="2" t="s">
        <v>19</v>
      </c>
      <c r="D64" s="3">
        <v>44311</v>
      </c>
      <c r="E64" s="2">
        <v>98.44</v>
      </c>
      <c r="F64" s="4">
        <v>1821</v>
      </c>
      <c r="G64" s="5">
        <v>0.12</v>
      </c>
      <c r="H64" s="4">
        <v>1821</v>
      </c>
      <c r="I64" s="6">
        <v>0.14899999999999999</v>
      </c>
      <c r="J64" s="4">
        <v>1127</v>
      </c>
      <c r="K64" s="6">
        <v>0.48599999999999999</v>
      </c>
      <c r="L64" s="4">
        <v>15237</v>
      </c>
      <c r="M64" s="2">
        <v>62.56</v>
      </c>
      <c r="N64" s="2">
        <v>2.5</v>
      </c>
      <c r="O64" s="2">
        <v>12.4</v>
      </c>
      <c r="P64" s="2">
        <v>22</v>
      </c>
      <c r="Q64" s="2">
        <v>15.21</v>
      </c>
    </row>
    <row r="65" spans="1:17" x14ac:dyDescent="0.25">
      <c r="A65" s="2">
        <v>64</v>
      </c>
      <c r="B65" s="2" t="s">
        <v>83</v>
      </c>
      <c r="C65" s="2" t="s">
        <v>17</v>
      </c>
      <c r="D65" s="3">
        <v>44311</v>
      </c>
      <c r="E65" s="2">
        <v>184.53</v>
      </c>
      <c r="F65" s="4">
        <v>144798</v>
      </c>
      <c r="G65" s="5">
        <v>0.26200000000000001</v>
      </c>
      <c r="H65" s="4">
        <v>144741</v>
      </c>
      <c r="I65" s="5">
        <v>0.317</v>
      </c>
      <c r="J65" s="4">
        <v>92675</v>
      </c>
      <c r="K65" s="5">
        <v>0.67200000000000004</v>
      </c>
      <c r="L65" s="4">
        <v>553284</v>
      </c>
      <c r="M65" s="2">
        <v>502.42</v>
      </c>
      <c r="N65" s="2">
        <v>2.4300000000000002</v>
      </c>
      <c r="O65" s="2">
        <v>12.5</v>
      </c>
      <c r="P65" s="2">
        <v>15.2</v>
      </c>
      <c r="Q65" s="2">
        <v>24.91</v>
      </c>
    </row>
    <row r="66" spans="1:17" x14ac:dyDescent="0.25">
      <c r="A66" s="2">
        <v>65</v>
      </c>
      <c r="B66" s="2" t="s">
        <v>84</v>
      </c>
      <c r="C66" s="2" t="s">
        <v>17</v>
      </c>
      <c r="D66" s="3">
        <v>44311</v>
      </c>
      <c r="E66" s="2">
        <v>139.30000000000001</v>
      </c>
      <c r="F66" s="4">
        <v>7167</v>
      </c>
      <c r="G66" s="5">
        <v>0.21199999999999999</v>
      </c>
      <c r="H66" s="4">
        <v>7162</v>
      </c>
      <c r="I66" s="5">
        <v>0.26800000000000002</v>
      </c>
      <c r="J66" s="4">
        <v>3959</v>
      </c>
      <c r="K66" s="5">
        <v>0.73799999999999999</v>
      </c>
      <c r="L66" s="4">
        <v>33739</v>
      </c>
      <c r="M66" s="2">
        <v>55.64</v>
      </c>
      <c r="N66" s="2">
        <v>2.56</v>
      </c>
      <c r="O66" s="2">
        <v>9</v>
      </c>
      <c r="P66" s="2">
        <v>11.5</v>
      </c>
      <c r="Q66" s="2">
        <v>15.9</v>
      </c>
    </row>
    <row r="67" spans="1:17" x14ac:dyDescent="0.25">
      <c r="A67" s="2">
        <v>66</v>
      </c>
      <c r="B67" s="2" t="s">
        <v>85</v>
      </c>
      <c r="C67" s="2" t="s">
        <v>17</v>
      </c>
      <c r="D67" s="3">
        <v>44311</v>
      </c>
      <c r="E67" s="2">
        <v>108</v>
      </c>
      <c r="F67" s="4">
        <v>15639</v>
      </c>
      <c r="G67" s="5">
        <v>0.21099999999999999</v>
      </c>
      <c r="H67" s="4">
        <v>15633</v>
      </c>
      <c r="I67" s="5">
        <v>0.26500000000000001</v>
      </c>
      <c r="J67" s="4">
        <v>9160</v>
      </c>
      <c r="K67" s="5">
        <v>0.61199999999999999</v>
      </c>
      <c r="L67" s="4">
        <v>74071</v>
      </c>
      <c r="M67" s="2">
        <v>71.38</v>
      </c>
      <c r="N67" s="2">
        <v>2.42</v>
      </c>
      <c r="O67" s="2">
        <v>13.5</v>
      </c>
      <c r="P67" s="2">
        <v>14.7</v>
      </c>
      <c r="Q67" s="2">
        <v>20.22</v>
      </c>
    </row>
    <row r="68" spans="1:17" x14ac:dyDescent="0.25">
      <c r="A68" s="1">
        <v>67</v>
      </c>
      <c r="B68" s="2" t="s">
        <v>86</v>
      </c>
      <c r="C68" s="2" t="s">
        <v>25</v>
      </c>
      <c r="D68" s="3">
        <v>44311</v>
      </c>
      <c r="E68" s="2" t="s">
        <v>26</v>
      </c>
      <c r="F68" s="4">
        <v>3462</v>
      </c>
      <c r="G68" s="5">
        <v>0.13600000000000001</v>
      </c>
      <c r="H68" s="4">
        <v>3459</v>
      </c>
      <c r="I68" s="5">
        <v>0.17</v>
      </c>
      <c r="J68" s="4">
        <v>2075</v>
      </c>
      <c r="K68" s="5">
        <v>0.47399999999999998</v>
      </c>
      <c r="L68" s="4">
        <v>25473</v>
      </c>
      <c r="M68" s="2">
        <v>43.57</v>
      </c>
      <c r="N68" s="2">
        <v>2.57</v>
      </c>
      <c r="O68" s="2">
        <v>12.8</v>
      </c>
      <c r="P68" s="2">
        <v>22.4</v>
      </c>
      <c r="Q68" s="2">
        <v>17.2</v>
      </c>
    </row>
    <row r="69" spans="1:17" ht="36" x14ac:dyDescent="0.25">
      <c r="B69" s="8" t="s">
        <v>87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3FBA-FBA5-4697-B0FF-394B0CDDEBEA}">
  <dimension ref="A1:Q69"/>
  <sheetViews>
    <sheetView workbookViewId="0">
      <selection sqref="A1:Q68"/>
    </sheetView>
  </sheetViews>
  <sheetFormatPr defaultRowHeight="15.75" x14ac:dyDescent="0.25"/>
  <cols>
    <col min="1" max="1" width="2.375" bestFit="1" customWidth="1"/>
    <col min="2" max="2" width="9.5" bestFit="1" customWidth="1"/>
    <col min="3" max="3" width="15.875" bestFit="1" customWidth="1"/>
    <col min="4" max="4" width="10.125" bestFit="1" customWidth="1"/>
    <col min="5" max="5" width="10.25" bestFit="1" customWidth="1"/>
    <col min="6" max="6" width="8.125" bestFit="1" customWidth="1"/>
    <col min="7" max="7" width="13.875" bestFit="1" customWidth="1"/>
    <col min="8" max="8" width="9.875" bestFit="1" customWidth="1"/>
    <col min="9" max="9" width="15.625" bestFit="1" customWidth="1"/>
    <col min="10" max="10" width="9.875" bestFit="1" customWidth="1"/>
    <col min="11" max="11" width="15.625" bestFit="1" customWidth="1"/>
    <col min="12" max="12" width="12" bestFit="1" customWidth="1"/>
    <col min="13" max="13" width="13.75" bestFit="1" customWidth="1"/>
    <col min="14" max="14" width="9.5" bestFit="1" customWidth="1"/>
    <col min="15" max="15" width="13.375" bestFit="1" customWidth="1"/>
    <col min="16" max="16" width="9.125" bestFit="1" customWidth="1"/>
    <col min="17" max="17" width="6.125" bestFit="1" customWidth="1"/>
  </cols>
  <sheetData>
    <row r="1" spans="1:17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</row>
    <row r="2" spans="1:17" x14ac:dyDescent="0.25">
      <c r="A2" s="2">
        <v>1</v>
      </c>
      <c r="B2" s="2" t="s">
        <v>16</v>
      </c>
      <c r="C2" s="2" t="s">
        <v>17</v>
      </c>
      <c r="D2" s="3">
        <v>44312</v>
      </c>
      <c r="E2" s="2">
        <v>123.03</v>
      </c>
      <c r="F2" s="4">
        <v>81173</v>
      </c>
      <c r="G2" s="5">
        <v>0.30199999999999999</v>
      </c>
      <c r="H2" s="4">
        <v>81055</v>
      </c>
      <c r="I2" s="6">
        <v>0.36699999999999999</v>
      </c>
      <c r="J2" s="4">
        <v>31790</v>
      </c>
      <c r="K2" s="5">
        <v>0.80900000000000005</v>
      </c>
      <c r="L2" s="4">
        <v>269043</v>
      </c>
      <c r="M2" s="2">
        <v>307.29000000000002</v>
      </c>
      <c r="N2" s="2">
        <v>2.54</v>
      </c>
      <c r="O2" s="2">
        <v>9.1999999999999993</v>
      </c>
      <c r="P2" s="2">
        <v>21.8</v>
      </c>
      <c r="Q2" s="2">
        <v>14.6</v>
      </c>
    </row>
    <row r="3" spans="1:17" x14ac:dyDescent="0.25">
      <c r="A3" s="2">
        <v>2</v>
      </c>
      <c r="B3" s="2" t="s">
        <v>18</v>
      </c>
      <c r="C3" s="2" t="s">
        <v>17</v>
      </c>
      <c r="D3" s="3">
        <v>44312</v>
      </c>
      <c r="E3" s="2">
        <v>143.79</v>
      </c>
      <c r="F3" s="4">
        <v>3859</v>
      </c>
      <c r="G3" s="5">
        <v>0.13200000000000001</v>
      </c>
      <c r="H3" s="4">
        <v>3859</v>
      </c>
      <c r="I3" s="5">
        <v>0.17399999999999999</v>
      </c>
      <c r="J3" s="4">
        <v>2240</v>
      </c>
      <c r="K3" s="5">
        <v>0.54400000000000004</v>
      </c>
      <c r="L3" s="4">
        <v>29210</v>
      </c>
      <c r="M3" s="2">
        <v>49.91</v>
      </c>
      <c r="N3" s="2">
        <v>2.92</v>
      </c>
      <c r="O3" s="2">
        <v>12.5</v>
      </c>
      <c r="P3" s="2">
        <v>14.6</v>
      </c>
      <c r="Q3" s="2">
        <v>14.09</v>
      </c>
    </row>
    <row r="4" spans="1:17" x14ac:dyDescent="0.25">
      <c r="A4" s="2">
        <v>3</v>
      </c>
      <c r="B4" s="2" t="s">
        <v>20</v>
      </c>
      <c r="C4" s="2" t="s">
        <v>19</v>
      </c>
      <c r="D4" s="3">
        <v>44312</v>
      </c>
      <c r="E4" s="2">
        <v>75.56</v>
      </c>
      <c r="F4" s="4">
        <v>38726</v>
      </c>
      <c r="G4" s="5">
        <v>0.222</v>
      </c>
      <c r="H4" s="4">
        <v>38702</v>
      </c>
      <c r="I4" s="5">
        <v>0.27900000000000003</v>
      </c>
      <c r="J4" s="4">
        <v>19648</v>
      </c>
      <c r="K4" s="6">
        <v>0.60399999999999998</v>
      </c>
      <c r="L4" s="4">
        <v>174705</v>
      </c>
      <c r="M4" s="2">
        <v>230.3</v>
      </c>
      <c r="N4" s="2">
        <v>2.57</v>
      </c>
      <c r="O4" s="2">
        <v>14.2</v>
      </c>
      <c r="P4" s="2">
        <v>14.7</v>
      </c>
      <c r="Q4" s="2">
        <v>18.62</v>
      </c>
    </row>
    <row r="5" spans="1:17" x14ac:dyDescent="0.25">
      <c r="A5" s="2">
        <v>4</v>
      </c>
      <c r="B5" s="2" t="s">
        <v>21</v>
      </c>
      <c r="C5" s="2" t="s">
        <v>19</v>
      </c>
      <c r="D5" s="3">
        <v>44312</v>
      </c>
      <c r="E5" s="2">
        <v>78.010000000000005</v>
      </c>
      <c r="F5" s="4">
        <v>4197</v>
      </c>
      <c r="G5" s="5">
        <v>0.14899999999999999</v>
      </c>
      <c r="H5" s="4">
        <v>4197</v>
      </c>
      <c r="I5" s="5">
        <v>0.185</v>
      </c>
      <c r="J5" s="4">
        <v>2584</v>
      </c>
      <c r="K5" s="5">
        <v>0.51</v>
      </c>
      <c r="L5" s="4">
        <v>28201</v>
      </c>
      <c r="M5" s="2">
        <v>95.93</v>
      </c>
      <c r="N5" s="2">
        <v>2.6</v>
      </c>
      <c r="O5" s="2">
        <v>12.4</v>
      </c>
      <c r="P5" s="2">
        <v>20.3</v>
      </c>
      <c r="Q5" s="2">
        <v>17.96</v>
      </c>
    </row>
    <row r="6" spans="1:17" x14ac:dyDescent="0.25">
      <c r="A6" s="2">
        <v>5</v>
      </c>
      <c r="B6" s="2" t="s">
        <v>22</v>
      </c>
      <c r="C6" s="2" t="s">
        <v>17</v>
      </c>
      <c r="D6" s="3">
        <v>44312</v>
      </c>
      <c r="E6" s="2">
        <v>152.01</v>
      </c>
      <c r="F6" s="4">
        <v>165831</v>
      </c>
      <c r="G6" s="5">
        <v>0.27500000000000002</v>
      </c>
      <c r="H6" s="4">
        <v>165729</v>
      </c>
      <c r="I6" s="5">
        <v>0.33600000000000002</v>
      </c>
      <c r="J6" s="4">
        <v>95734</v>
      </c>
      <c r="K6" s="5">
        <v>0.65700000000000003</v>
      </c>
      <c r="L6" s="4">
        <v>601942</v>
      </c>
      <c r="M6" s="2">
        <v>593.05999999999995</v>
      </c>
      <c r="N6" s="2">
        <v>2.4900000000000002</v>
      </c>
      <c r="O6" s="2">
        <v>10.8</v>
      </c>
      <c r="P6" s="2">
        <v>12.7</v>
      </c>
      <c r="Q6" s="2">
        <v>24.21</v>
      </c>
    </row>
    <row r="7" spans="1:17" x14ac:dyDescent="0.25">
      <c r="A7" s="2">
        <v>6</v>
      </c>
      <c r="B7" s="2" t="s">
        <v>23</v>
      </c>
      <c r="C7" s="2" t="s">
        <v>17</v>
      </c>
      <c r="D7" s="3">
        <v>44312</v>
      </c>
      <c r="E7" s="2">
        <v>248.88</v>
      </c>
      <c r="F7" s="4">
        <v>521084</v>
      </c>
      <c r="G7" s="5">
        <v>0.26700000000000002</v>
      </c>
      <c r="H7" s="4">
        <v>519868</v>
      </c>
      <c r="I7" s="5">
        <v>0.33700000000000002</v>
      </c>
      <c r="J7" s="4">
        <v>223871</v>
      </c>
      <c r="K7" s="5">
        <v>0.66900000000000004</v>
      </c>
      <c r="L7" s="4">
        <v>1952778</v>
      </c>
      <c r="M7" s="7">
        <v>1623.5</v>
      </c>
      <c r="N7" s="2">
        <v>2.77</v>
      </c>
      <c r="O7" s="2">
        <v>14.6</v>
      </c>
      <c r="P7" s="2">
        <v>13.5</v>
      </c>
      <c r="Q7" s="2">
        <v>17.13</v>
      </c>
    </row>
    <row r="8" spans="1:17" x14ac:dyDescent="0.25">
      <c r="A8" s="2">
        <v>7</v>
      </c>
      <c r="B8" s="2" t="s">
        <v>24</v>
      </c>
      <c r="C8" s="2" t="s">
        <v>17</v>
      </c>
      <c r="D8" s="3">
        <v>44312</v>
      </c>
      <c r="E8" s="2">
        <v>106.35</v>
      </c>
      <c r="F8" s="4">
        <v>2209</v>
      </c>
      <c r="G8" s="6">
        <v>0.157</v>
      </c>
      <c r="H8" s="4">
        <v>2209</v>
      </c>
      <c r="I8" s="5">
        <v>0.19600000000000001</v>
      </c>
      <c r="J8" s="4">
        <v>1417</v>
      </c>
      <c r="K8" s="5">
        <v>0.53100000000000003</v>
      </c>
      <c r="L8" s="4">
        <v>14105</v>
      </c>
      <c r="M8" s="2">
        <v>24.86</v>
      </c>
      <c r="N8" s="2">
        <v>2.73</v>
      </c>
      <c r="O8" s="2">
        <v>18.3</v>
      </c>
      <c r="P8" s="2">
        <v>12.2</v>
      </c>
      <c r="Q8" s="2">
        <v>18.93</v>
      </c>
    </row>
    <row r="9" spans="1:17" x14ac:dyDescent="0.25">
      <c r="A9" s="2">
        <v>8</v>
      </c>
      <c r="B9" s="2" t="s">
        <v>27</v>
      </c>
      <c r="C9" s="2" t="s">
        <v>17</v>
      </c>
      <c r="D9" s="3">
        <v>44312</v>
      </c>
      <c r="E9" s="2">
        <v>126.52</v>
      </c>
      <c r="F9" s="4">
        <v>71151</v>
      </c>
      <c r="G9" s="5">
        <v>0.377</v>
      </c>
      <c r="H9" s="4">
        <v>71120</v>
      </c>
      <c r="I9" s="5">
        <v>0.42699999999999999</v>
      </c>
      <c r="J9" s="4">
        <v>53637</v>
      </c>
      <c r="K9" s="5">
        <v>0.69599999999999995</v>
      </c>
      <c r="L9" s="4">
        <v>188910</v>
      </c>
      <c r="M9" s="2">
        <v>277.36</v>
      </c>
      <c r="N9" s="2">
        <v>2.2799999999999998</v>
      </c>
      <c r="O9" s="2">
        <v>11.3</v>
      </c>
      <c r="P9" s="2">
        <v>11.1</v>
      </c>
      <c r="Q9" s="2">
        <v>40.799999999999997</v>
      </c>
    </row>
    <row r="10" spans="1:17" x14ac:dyDescent="0.25">
      <c r="A10" s="2">
        <v>9</v>
      </c>
      <c r="B10" s="2" t="s">
        <v>28</v>
      </c>
      <c r="C10" s="2" t="s">
        <v>17</v>
      </c>
      <c r="D10" s="3">
        <v>44312</v>
      </c>
      <c r="E10" s="2">
        <v>117.6</v>
      </c>
      <c r="F10" s="4">
        <v>45708</v>
      </c>
      <c r="G10" s="5">
        <v>0.30499999999999999</v>
      </c>
      <c r="H10" s="4">
        <v>45697</v>
      </c>
      <c r="I10" s="5">
        <v>0.35799999999999998</v>
      </c>
      <c r="J10" s="4">
        <v>34811</v>
      </c>
      <c r="K10" s="5">
        <v>0.63400000000000001</v>
      </c>
      <c r="L10" s="4">
        <v>149657</v>
      </c>
      <c r="M10" s="2">
        <v>257.18</v>
      </c>
      <c r="N10" s="2">
        <v>2.2400000000000002</v>
      </c>
      <c r="O10" s="2">
        <v>10.4</v>
      </c>
      <c r="P10" s="2">
        <v>16.7</v>
      </c>
      <c r="Q10" s="2">
        <v>36.71</v>
      </c>
    </row>
    <row r="11" spans="1:17" x14ac:dyDescent="0.25">
      <c r="A11" s="2">
        <v>10</v>
      </c>
      <c r="B11" s="2" t="s">
        <v>29</v>
      </c>
      <c r="C11" s="2" t="s">
        <v>17</v>
      </c>
      <c r="D11" s="3">
        <v>44312</v>
      </c>
      <c r="E11" s="2">
        <v>146.86000000000001</v>
      </c>
      <c r="F11" s="4">
        <v>43936</v>
      </c>
      <c r="G11" s="5">
        <v>0.2</v>
      </c>
      <c r="H11" s="4">
        <v>43884</v>
      </c>
      <c r="I11" s="5">
        <v>0.26</v>
      </c>
      <c r="J11" s="4">
        <v>21124</v>
      </c>
      <c r="K11" s="5">
        <v>0.58899999999999997</v>
      </c>
      <c r="L11" s="4">
        <v>219252</v>
      </c>
      <c r="M11" s="2">
        <v>362.63</v>
      </c>
      <c r="N11" s="2">
        <v>2.81</v>
      </c>
      <c r="O11" s="2">
        <v>10.4</v>
      </c>
      <c r="P11" s="2">
        <v>10.6</v>
      </c>
      <c r="Q11" s="2">
        <v>16.350000000000001</v>
      </c>
    </row>
    <row r="12" spans="1:17" x14ac:dyDescent="0.25">
      <c r="A12" s="2">
        <v>11</v>
      </c>
      <c r="B12" s="2" t="s">
        <v>30</v>
      </c>
      <c r="C12" s="2" t="s">
        <v>17</v>
      </c>
      <c r="D12" s="3">
        <v>44312</v>
      </c>
      <c r="E12" s="2">
        <v>155.36000000000001</v>
      </c>
      <c r="F12" s="4">
        <v>132922</v>
      </c>
      <c r="G12" s="6">
        <v>0.34499999999999997</v>
      </c>
      <c r="H12" s="4">
        <v>132872</v>
      </c>
      <c r="I12" s="5">
        <v>0.41499999999999998</v>
      </c>
      <c r="J12" s="4">
        <v>95334</v>
      </c>
      <c r="K12" s="5">
        <v>0.752</v>
      </c>
      <c r="L12" s="4">
        <v>384902</v>
      </c>
      <c r="M12" s="2">
        <v>192.75</v>
      </c>
      <c r="N12" s="2">
        <v>2.5499999999999998</v>
      </c>
      <c r="O12" s="2">
        <v>16.5</v>
      </c>
      <c r="P12" s="2">
        <v>12.3</v>
      </c>
      <c r="Q12" s="2">
        <v>32.92</v>
      </c>
    </row>
    <row r="13" spans="1:17" x14ac:dyDescent="0.25">
      <c r="A13" s="2">
        <v>12</v>
      </c>
      <c r="B13" s="2" t="s">
        <v>31</v>
      </c>
      <c r="C13" s="2" t="s">
        <v>19</v>
      </c>
      <c r="D13" s="3">
        <v>44312</v>
      </c>
      <c r="E13" s="2">
        <v>76.72</v>
      </c>
      <c r="F13" s="4">
        <v>13265</v>
      </c>
      <c r="G13" s="5">
        <v>0.185</v>
      </c>
      <c r="H13" s="4">
        <v>13260</v>
      </c>
      <c r="I13" s="5">
        <v>0.23599999999999999</v>
      </c>
      <c r="J13" s="4">
        <v>7892</v>
      </c>
      <c r="K13" s="5">
        <v>0.57199999999999995</v>
      </c>
      <c r="L13" s="4">
        <v>71686</v>
      </c>
      <c r="M13" s="2">
        <v>89.88</v>
      </c>
      <c r="N13" s="2">
        <v>2.57</v>
      </c>
      <c r="O13" s="2">
        <v>12.4</v>
      </c>
      <c r="P13" s="2">
        <v>17.399999999999999</v>
      </c>
      <c r="Q13" s="2">
        <v>19.260000000000002</v>
      </c>
    </row>
    <row r="14" spans="1:17" x14ac:dyDescent="0.25">
      <c r="A14" s="2">
        <v>13</v>
      </c>
      <c r="B14" s="2" t="s">
        <v>32</v>
      </c>
      <c r="C14" s="2" t="s">
        <v>17</v>
      </c>
      <c r="D14" s="3">
        <v>44312</v>
      </c>
      <c r="E14" s="2">
        <v>115.79</v>
      </c>
      <c r="F14" s="4">
        <v>6673</v>
      </c>
      <c r="G14" s="5">
        <v>0.17599999999999999</v>
      </c>
      <c r="H14" s="4">
        <v>6672</v>
      </c>
      <c r="I14" s="5">
        <v>0.216</v>
      </c>
      <c r="J14" s="4">
        <v>4758</v>
      </c>
      <c r="K14" s="5">
        <v>0.55600000000000005</v>
      </c>
      <c r="L14" s="4">
        <v>38001</v>
      </c>
      <c r="M14" s="2">
        <v>59.68</v>
      </c>
      <c r="N14" s="2">
        <v>2.74</v>
      </c>
      <c r="O14" s="2">
        <v>18.399999999999999</v>
      </c>
      <c r="P14" s="2">
        <v>28.5</v>
      </c>
      <c r="Q14" s="2">
        <v>22.52</v>
      </c>
    </row>
    <row r="15" spans="1:17" x14ac:dyDescent="0.25">
      <c r="A15" s="2">
        <v>14</v>
      </c>
      <c r="B15" s="2" t="s">
        <v>33</v>
      </c>
      <c r="C15" s="2" t="s">
        <v>19</v>
      </c>
      <c r="D15" s="3">
        <v>44312</v>
      </c>
      <c r="E15" s="2">
        <v>59.43</v>
      </c>
      <c r="F15" s="4">
        <v>2632</v>
      </c>
      <c r="G15" s="5">
        <v>0.156</v>
      </c>
      <c r="H15" s="4">
        <v>2631</v>
      </c>
      <c r="I15" s="5">
        <v>0.191</v>
      </c>
      <c r="J15" s="4">
        <v>1917</v>
      </c>
      <c r="K15" s="5">
        <v>0.48099999999999998</v>
      </c>
      <c r="L15" s="4">
        <v>16826</v>
      </c>
      <c r="M15" s="2">
        <v>23.86</v>
      </c>
      <c r="N15" s="2">
        <v>2.2799999999999998</v>
      </c>
      <c r="O15" s="2">
        <v>17.2</v>
      </c>
      <c r="P15" s="2">
        <v>23.1</v>
      </c>
      <c r="Q15" s="2">
        <v>23.68</v>
      </c>
    </row>
    <row r="16" spans="1:17" x14ac:dyDescent="0.25">
      <c r="A16" s="2">
        <v>15</v>
      </c>
      <c r="B16" s="2" t="s">
        <v>34</v>
      </c>
      <c r="C16" s="2" t="s">
        <v>17</v>
      </c>
      <c r="D16" s="3">
        <v>44312</v>
      </c>
      <c r="E16" s="2">
        <v>124.98</v>
      </c>
      <c r="F16" s="4">
        <v>251738</v>
      </c>
      <c r="G16" s="5">
        <v>0.26300000000000001</v>
      </c>
      <c r="H16" s="4">
        <v>251310</v>
      </c>
      <c r="I16" s="5">
        <v>0.33900000000000002</v>
      </c>
      <c r="J16" s="4">
        <v>99547</v>
      </c>
      <c r="K16" s="5">
        <v>0.71799999999999997</v>
      </c>
      <c r="L16" s="4">
        <v>957755</v>
      </c>
      <c r="M16" s="7">
        <v>1255.8599999999999</v>
      </c>
      <c r="N16" s="2">
        <v>2.5499999999999998</v>
      </c>
      <c r="O16" s="2">
        <v>12</v>
      </c>
      <c r="P16" s="2">
        <v>15.5</v>
      </c>
      <c r="Q16" s="2">
        <v>14.47</v>
      </c>
    </row>
    <row r="17" spans="1:17" x14ac:dyDescent="0.25">
      <c r="A17" s="2">
        <v>16</v>
      </c>
      <c r="B17" s="2" t="s">
        <v>35</v>
      </c>
      <c r="C17" s="2" t="s">
        <v>19</v>
      </c>
      <c r="D17" s="3">
        <v>44312</v>
      </c>
      <c r="E17" s="2">
        <v>89.53</v>
      </c>
      <c r="F17" s="4">
        <v>77196</v>
      </c>
      <c r="G17" s="5">
        <v>0.24299999999999999</v>
      </c>
      <c r="H17" s="4">
        <v>77153</v>
      </c>
      <c r="I17" s="5">
        <v>0.30599999999999999</v>
      </c>
      <c r="J17" s="4">
        <v>36830</v>
      </c>
      <c r="K17" s="5">
        <v>0.67500000000000004</v>
      </c>
      <c r="L17" s="4">
        <v>318316</v>
      </c>
      <c r="M17" s="2">
        <v>484.52</v>
      </c>
      <c r="N17" s="2">
        <v>2.4700000000000002</v>
      </c>
      <c r="O17" s="2">
        <v>10.199999999999999</v>
      </c>
      <c r="P17" s="2">
        <v>13.9</v>
      </c>
      <c r="Q17" s="2">
        <v>17.14</v>
      </c>
    </row>
    <row r="18" spans="1:17" x14ac:dyDescent="0.25">
      <c r="A18" s="2">
        <v>17</v>
      </c>
      <c r="B18" s="2" t="s">
        <v>36</v>
      </c>
      <c r="C18" s="2" t="s">
        <v>17</v>
      </c>
      <c r="D18" s="3">
        <v>44312</v>
      </c>
      <c r="E18" s="2">
        <v>106.88</v>
      </c>
      <c r="F18" s="4">
        <v>36568</v>
      </c>
      <c r="G18" s="5">
        <v>0.318</v>
      </c>
      <c r="H18" s="4">
        <v>36555</v>
      </c>
      <c r="I18" s="5">
        <v>0.38100000000000001</v>
      </c>
      <c r="J18" s="4">
        <v>25363</v>
      </c>
      <c r="K18" s="5">
        <v>0.70699999999999996</v>
      </c>
      <c r="L18" s="4">
        <v>115081</v>
      </c>
      <c r="M18" s="2">
        <v>237.21</v>
      </c>
      <c r="N18" s="2">
        <v>2.62</v>
      </c>
      <c r="O18" s="2">
        <v>12.7</v>
      </c>
      <c r="P18" s="2">
        <v>11.9</v>
      </c>
      <c r="Q18" s="2">
        <v>31.19</v>
      </c>
    </row>
    <row r="19" spans="1:17" x14ac:dyDescent="0.25">
      <c r="A19" s="2">
        <v>18</v>
      </c>
      <c r="B19" s="2" t="s">
        <v>37</v>
      </c>
      <c r="C19" s="2" t="s">
        <v>25</v>
      </c>
      <c r="D19" s="3">
        <v>44312</v>
      </c>
      <c r="E19" s="2" t="s">
        <v>26</v>
      </c>
      <c r="F19" s="4">
        <v>3098</v>
      </c>
      <c r="G19" s="5">
        <v>0.25600000000000001</v>
      </c>
      <c r="H19" s="4">
        <v>3098</v>
      </c>
      <c r="I19" s="5">
        <v>0.30199999999999999</v>
      </c>
      <c r="J19" s="4">
        <v>2083</v>
      </c>
      <c r="K19" s="5">
        <v>0.71199999999999997</v>
      </c>
      <c r="L19" s="4">
        <v>12125</v>
      </c>
      <c r="M19" s="2">
        <v>22.24</v>
      </c>
      <c r="N19" s="2">
        <v>2.35</v>
      </c>
      <c r="O19" s="2">
        <v>18.3</v>
      </c>
      <c r="P19" s="2">
        <v>20.7</v>
      </c>
      <c r="Q19" s="2">
        <v>24.13</v>
      </c>
    </row>
    <row r="20" spans="1:17" x14ac:dyDescent="0.25">
      <c r="A20" s="2">
        <v>19</v>
      </c>
      <c r="B20" s="2" t="s">
        <v>38</v>
      </c>
      <c r="C20" s="2" t="s">
        <v>19</v>
      </c>
      <c r="D20" s="3">
        <v>44312</v>
      </c>
      <c r="E20" s="2">
        <v>67.89</v>
      </c>
      <c r="F20" s="4">
        <v>12447</v>
      </c>
      <c r="G20" s="5">
        <v>0.27300000000000002</v>
      </c>
      <c r="H20" s="4">
        <v>12439</v>
      </c>
      <c r="I20" s="5">
        <v>0.34699999999999998</v>
      </c>
      <c r="J20" s="4">
        <v>6139</v>
      </c>
      <c r="K20" s="5">
        <v>0.71899999999999997</v>
      </c>
      <c r="L20" s="4">
        <v>45660</v>
      </c>
      <c r="M20" s="2">
        <v>88.44</v>
      </c>
      <c r="N20" s="2">
        <v>2.4700000000000002</v>
      </c>
      <c r="O20" s="2">
        <v>14.9</v>
      </c>
      <c r="P20" s="2">
        <v>24.6</v>
      </c>
      <c r="Q20" s="2">
        <v>18.7</v>
      </c>
    </row>
    <row r="21" spans="1:17" x14ac:dyDescent="0.25">
      <c r="A21" s="2">
        <v>20</v>
      </c>
      <c r="B21" s="2" t="s">
        <v>39</v>
      </c>
      <c r="C21" s="2" t="s">
        <v>17</v>
      </c>
      <c r="D21" s="3">
        <v>44312</v>
      </c>
      <c r="E21" s="2">
        <v>156.07</v>
      </c>
      <c r="F21" s="4">
        <v>3022</v>
      </c>
      <c r="G21" s="5">
        <v>0.16300000000000001</v>
      </c>
      <c r="H21" s="4">
        <v>3020</v>
      </c>
      <c r="I21" s="6">
        <v>0.20300000000000001</v>
      </c>
      <c r="J21" s="4">
        <v>1903</v>
      </c>
      <c r="K21" s="5">
        <v>0.496</v>
      </c>
      <c r="L21" s="4">
        <v>18582</v>
      </c>
      <c r="M21" s="2">
        <v>53.14</v>
      </c>
      <c r="N21" s="2">
        <v>2.5</v>
      </c>
      <c r="O21" s="2">
        <v>18.100000000000001</v>
      </c>
      <c r="P21" s="2">
        <v>17.899999999999999</v>
      </c>
      <c r="Q21" s="2">
        <v>20.65</v>
      </c>
    </row>
    <row r="22" spans="1:17" x14ac:dyDescent="0.25">
      <c r="A22" s="2">
        <v>21</v>
      </c>
      <c r="B22" s="2" t="s">
        <v>40</v>
      </c>
      <c r="C22" s="2" t="s">
        <v>19</v>
      </c>
      <c r="D22" s="3">
        <v>44312</v>
      </c>
      <c r="E22" s="2" t="s">
        <v>26</v>
      </c>
      <c r="F22" s="4">
        <v>1978</v>
      </c>
      <c r="G22" s="6">
        <v>0.14299999999999999</v>
      </c>
      <c r="H22" s="4">
        <v>1978</v>
      </c>
      <c r="I22" s="5">
        <v>0.16700000000000001</v>
      </c>
      <c r="J22" s="4">
        <v>1368</v>
      </c>
      <c r="K22" s="5">
        <v>0.35899999999999999</v>
      </c>
      <c r="L22" s="4">
        <v>13811</v>
      </c>
      <c r="M22" s="2">
        <v>17.12</v>
      </c>
      <c r="N22" s="2">
        <v>2.71</v>
      </c>
      <c r="O22" s="2">
        <v>19.899999999999999</v>
      </c>
      <c r="P22" s="2">
        <v>17</v>
      </c>
      <c r="Q22" s="2">
        <v>27.57</v>
      </c>
    </row>
    <row r="23" spans="1:17" x14ac:dyDescent="0.25">
      <c r="A23" s="2">
        <v>22</v>
      </c>
      <c r="B23" s="2" t="s">
        <v>41</v>
      </c>
      <c r="C23" s="2" t="s">
        <v>17</v>
      </c>
      <c r="D23" s="3">
        <v>44312</v>
      </c>
      <c r="E23" s="2">
        <v>131.97</v>
      </c>
      <c r="F23" s="4">
        <v>3354</v>
      </c>
      <c r="G23" s="6">
        <v>0.246</v>
      </c>
      <c r="H23" s="4">
        <v>3354</v>
      </c>
      <c r="I23" s="5">
        <v>0.30099999999999999</v>
      </c>
      <c r="J23" s="4">
        <v>2339</v>
      </c>
      <c r="K23" s="5">
        <v>0.64700000000000002</v>
      </c>
      <c r="L23" s="4">
        <v>13639</v>
      </c>
      <c r="M23" s="2">
        <v>24.64</v>
      </c>
      <c r="N23" s="2">
        <v>2.5499999999999998</v>
      </c>
      <c r="O23" s="2">
        <v>11.4</v>
      </c>
      <c r="P23" s="2">
        <v>13.9</v>
      </c>
      <c r="Q23" s="2">
        <v>26.5</v>
      </c>
    </row>
    <row r="24" spans="1:17" x14ac:dyDescent="0.25">
      <c r="A24" s="2">
        <v>23</v>
      </c>
      <c r="B24" s="2" t="s">
        <v>42</v>
      </c>
      <c r="C24" s="2" t="s">
        <v>19</v>
      </c>
      <c r="D24" s="3">
        <v>44312</v>
      </c>
      <c r="E24" s="2">
        <v>69.31</v>
      </c>
      <c r="F24" s="4">
        <v>2358</v>
      </c>
      <c r="G24" s="5">
        <v>0.16300000000000001</v>
      </c>
      <c r="H24" s="4">
        <v>2357</v>
      </c>
      <c r="I24" s="5">
        <v>0.20200000000000001</v>
      </c>
      <c r="J24" s="4">
        <v>1518</v>
      </c>
      <c r="K24" s="5">
        <v>0.56999999999999995</v>
      </c>
      <c r="L24" s="4">
        <v>14428</v>
      </c>
      <c r="M24" s="2">
        <v>28.08</v>
      </c>
      <c r="N24" s="2">
        <v>2.44</v>
      </c>
      <c r="O24" s="2">
        <v>14.3</v>
      </c>
      <c r="P24" s="2">
        <v>29.5</v>
      </c>
      <c r="Q24" s="2">
        <v>18.46</v>
      </c>
    </row>
    <row r="25" spans="1:17" x14ac:dyDescent="0.25">
      <c r="A25" s="2">
        <v>24</v>
      </c>
      <c r="B25" s="2" t="s">
        <v>43</v>
      </c>
      <c r="C25" s="2" t="s">
        <v>17</v>
      </c>
      <c r="D25" s="3">
        <v>44312</v>
      </c>
      <c r="E25" s="2">
        <v>207.89</v>
      </c>
      <c r="F25" s="4">
        <v>3603</v>
      </c>
      <c r="G25" s="5">
        <v>0.13400000000000001</v>
      </c>
      <c r="H25" s="4">
        <v>3602</v>
      </c>
      <c r="I25" s="5">
        <v>0.17899999999999999</v>
      </c>
      <c r="J25" s="4">
        <v>2456</v>
      </c>
      <c r="K25" s="5">
        <v>0.52300000000000002</v>
      </c>
      <c r="L25" s="4">
        <v>26937</v>
      </c>
      <c r="M25" s="2">
        <v>42.25</v>
      </c>
      <c r="N25" s="2">
        <v>3.22</v>
      </c>
      <c r="O25" s="2">
        <v>12.2</v>
      </c>
      <c r="P25" s="2">
        <v>26.7</v>
      </c>
      <c r="Q25" s="2">
        <v>17.43</v>
      </c>
    </row>
    <row r="26" spans="1:17" x14ac:dyDescent="0.25">
      <c r="A26" s="2">
        <v>25</v>
      </c>
      <c r="B26" s="2" t="s">
        <v>44</v>
      </c>
      <c r="C26" s="2" t="s">
        <v>17</v>
      </c>
      <c r="D26" s="3">
        <v>44312</v>
      </c>
      <c r="E26" s="2">
        <v>138.02000000000001</v>
      </c>
      <c r="F26" s="4">
        <v>7003</v>
      </c>
      <c r="G26" s="5">
        <v>0.16700000000000001</v>
      </c>
      <c r="H26" s="4">
        <v>7000</v>
      </c>
      <c r="I26" s="5">
        <v>0.22700000000000001</v>
      </c>
      <c r="J26" s="4">
        <v>3691</v>
      </c>
      <c r="K26" s="5">
        <v>0.63900000000000001</v>
      </c>
      <c r="L26" s="4">
        <v>42022</v>
      </c>
      <c r="M26" s="2">
        <v>36.340000000000003</v>
      </c>
      <c r="N26" s="2">
        <v>3.17</v>
      </c>
      <c r="O26" s="2">
        <v>26.2</v>
      </c>
      <c r="P26" s="2">
        <v>26.8</v>
      </c>
      <c r="Q26" s="2">
        <v>13.75</v>
      </c>
    </row>
    <row r="27" spans="1:17" x14ac:dyDescent="0.25">
      <c r="A27" s="2">
        <v>26</v>
      </c>
      <c r="B27" s="2" t="s">
        <v>45</v>
      </c>
      <c r="C27" s="2" t="s">
        <v>17</v>
      </c>
      <c r="D27" s="3">
        <v>44312</v>
      </c>
      <c r="E27" s="2">
        <v>180.49</v>
      </c>
      <c r="F27" s="4">
        <v>49552</v>
      </c>
      <c r="G27" s="5">
        <v>0.25600000000000001</v>
      </c>
      <c r="H27" s="4">
        <v>49527</v>
      </c>
      <c r="I27" s="5">
        <v>0.312</v>
      </c>
      <c r="J27" s="4">
        <v>32758</v>
      </c>
      <c r="K27" s="5">
        <v>0.61399999999999999</v>
      </c>
      <c r="L27" s="4">
        <v>193920</v>
      </c>
      <c r="M27" s="2">
        <v>410.01</v>
      </c>
      <c r="N27" s="2">
        <v>2.46</v>
      </c>
      <c r="O27" s="2">
        <v>12.6</v>
      </c>
      <c r="P27" s="2">
        <v>14.3</v>
      </c>
      <c r="Q27" s="2">
        <v>27.51</v>
      </c>
    </row>
    <row r="28" spans="1:17" x14ac:dyDescent="0.25">
      <c r="A28" s="2">
        <v>27</v>
      </c>
      <c r="B28" s="2" t="s">
        <v>46</v>
      </c>
      <c r="C28" s="2" t="s">
        <v>17</v>
      </c>
      <c r="D28" s="3">
        <v>44312</v>
      </c>
      <c r="E28" s="2">
        <v>198.64</v>
      </c>
      <c r="F28" s="4">
        <v>26658</v>
      </c>
      <c r="G28" s="5">
        <v>0.251</v>
      </c>
      <c r="H28" s="4">
        <v>26655</v>
      </c>
      <c r="I28" s="5">
        <v>0.30199999999999999</v>
      </c>
      <c r="J28" s="4">
        <v>20545</v>
      </c>
      <c r="K28" s="5">
        <v>0.53700000000000003</v>
      </c>
      <c r="L28" s="4">
        <v>106221</v>
      </c>
      <c r="M28" s="2">
        <v>104.38</v>
      </c>
      <c r="N28" s="2">
        <v>2.44</v>
      </c>
      <c r="O28" s="2">
        <v>12.7</v>
      </c>
      <c r="P28" s="2">
        <v>19.2</v>
      </c>
      <c r="Q28" s="2">
        <v>36.049999999999997</v>
      </c>
    </row>
    <row r="29" spans="1:17" x14ac:dyDescent="0.25">
      <c r="A29" s="2">
        <v>28</v>
      </c>
      <c r="B29" s="2" t="s">
        <v>47</v>
      </c>
      <c r="C29" s="2" t="s">
        <v>17</v>
      </c>
      <c r="D29" s="3">
        <v>44312</v>
      </c>
      <c r="E29" s="2">
        <v>223.31</v>
      </c>
      <c r="F29" s="4">
        <v>358044</v>
      </c>
      <c r="G29" s="5">
        <v>0.24299999999999999</v>
      </c>
      <c r="H29" s="4">
        <v>357514</v>
      </c>
      <c r="I29" s="5">
        <v>0.312</v>
      </c>
      <c r="J29" s="4">
        <v>132964</v>
      </c>
      <c r="K29" s="5">
        <v>0.621</v>
      </c>
      <c r="L29" s="4">
        <v>1471968</v>
      </c>
      <c r="M29" s="7">
        <v>1440.39</v>
      </c>
      <c r="N29" s="2">
        <v>2.63</v>
      </c>
      <c r="O29" s="2">
        <v>13</v>
      </c>
      <c r="P29" s="2">
        <v>15.3</v>
      </c>
      <c r="Q29" s="2">
        <v>14.54</v>
      </c>
    </row>
    <row r="30" spans="1:17" x14ac:dyDescent="0.25">
      <c r="A30" s="2">
        <v>29</v>
      </c>
      <c r="B30" s="2" t="s">
        <v>48</v>
      </c>
      <c r="C30" s="2" t="s">
        <v>25</v>
      </c>
      <c r="D30" s="3">
        <v>44312</v>
      </c>
      <c r="E30" s="2" t="s">
        <v>26</v>
      </c>
      <c r="F30" s="4">
        <v>2757</v>
      </c>
      <c r="G30" s="5">
        <v>0.14099999999999999</v>
      </c>
      <c r="H30" s="4">
        <v>2755</v>
      </c>
      <c r="I30" s="5">
        <v>0.17599999999999999</v>
      </c>
      <c r="J30" s="4">
        <v>1758</v>
      </c>
      <c r="K30" s="5">
        <v>0.44800000000000001</v>
      </c>
      <c r="L30" s="4">
        <v>19617</v>
      </c>
      <c r="M30" s="2">
        <v>40.97</v>
      </c>
      <c r="N30" s="2">
        <v>2.5099999999999998</v>
      </c>
      <c r="O30" s="2">
        <v>18.899999999999999</v>
      </c>
      <c r="P30" s="2">
        <v>25.6</v>
      </c>
      <c r="Q30" s="2">
        <v>19.989999999999998</v>
      </c>
    </row>
    <row r="31" spans="1:17" x14ac:dyDescent="0.25">
      <c r="A31" s="2">
        <v>30</v>
      </c>
      <c r="B31" s="2" t="s">
        <v>49</v>
      </c>
      <c r="C31" s="2" t="s">
        <v>19</v>
      </c>
      <c r="D31" s="3">
        <v>44312</v>
      </c>
      <c r="E31" s="2">
        <v>90.67</v>
      </c>
      <c r="F31" s="4">
        <v>52021</v>
      </c>
      <c r="G31" s="5">
        <v>0.32500000000000001</v>
      </c>
      <c r="H31" s="4">
        <v>52004</v>
      </c>
      <c r="I31" s="5">
        <v>0.38600000000000001</v>
      </c>
      <c r="J31" s="4">
        <v>37229</v>
      </c>
      <c r="K31" s="5">
        <v>0.68799999999999994</v>
      </c>
      <c r="L31" s="4">
        <v>159923</v>
      </c>
      <c r="M31" s="2">
        <v>318.08</v>
      </c>
      <c r="N31" s="2">
        <v>2.6</v>
      </c>
      <c r="O31" s="2">
        <v>12.1</v>
      </c>
      <c r="P31" s="2">
        <v>12.2</v>
      </c>
      <c r="Q31" s="2">
        <v>33.85</v>
      </c>
    </row>
    <row r="32" spans="1:17" x14ac:dyDescent="0.25">
      <c r="A32" s="2">
        <v>31</v>
      </c>
      <c r="B32" s="2" t="s">
        <v>50</v>
      </c>
      <c r="C32" s="2" t="s">
        <v>19</v>
      </c>
      <c r="D32" s="3">
        <v>44312</v>
      </c>
      <c r="E32" s="2">
        <v>64.64</v>
      </c>
      <c r="F32" s="4">
        <v>9235</v>
      </c>
      <c r="G32" s="5">
        <v>0.19900000000000001</v>
      </c>
      <c r="H32" s="4">
        <v>9234</v>
      </c>
      <c r="I32" s="5">
        <v>0.245</v>
      </c>
      <c r="J32" s="4">
        <v>5324</v>
      </c>
      <c r="K32" s="5">
        <v>0.55600000000000005</v>
      </c>
      <c r="L32" s="4">
        <v>46414</v>
      </c>
      <c r="M32" s="2">
        <v>50.55</v>
      </c>
      <c r="N32" s="2">
        <v>2.4</v>
      </c>
      <c r="O32" s="2">
        <v>11.3</v>
      </c>
      <c r="P32" s="2">
        <v>20.6</v>
      </c>
      <c r="Q32" s="2">
        <v>20.62</v>
      </c>
    </row>
    <row r="33" spans="1:17" x14ac:dyDescent="0.25">
      <c r="A33" s="2">
        <v>32</v>
      </c>
      <c r="B33" s="2" t="s">
        <v>51</v>
      </c>
      <c r="C33" s="2" t="s">
        <v>17</v>
      </c>
      <c r="D33" s="3">
        <v>44312</v>
      </c>
      <c r="E33" s="2">
        <v>140.38999999999999</v>
      </c>
      <c r="F33" s="4">
        <v>4807</v>
      </c>
      <c r="G33" s="5">
        <v>0.33700000000000002</v>
      </c>
      <c r="H33" s="4">
        <v>4806</v>
      </c>
      <c r="I33" s="5">
        <v>0.40400000000000003</v>
      </c>
      <c r="J33" s="4">
        <v>3227</v>
      </c>
      <c r="K33" s="5">
        <v>0.91900000000000004</v>
      </c>
      <c r="L33" s="4">
        <v>14246</v>
      </c>
      <c r="M33" s="2">
        <v>23.82</v>
      </c>
      <c r="N33" s="2">
        <v>2.04</v>
      </c>
      <c r="O33" s="2">
        <v>6.4</v>
      </c>
      <c r="P33" s="2">
        <v>14.1</v>
      </c>
      <c r="Q33" s="2">
        <v>24.65</v>
      </c>
    </row>
    <row r="34" spans="1:17" x14ac:dyDescent="0.25">
      <c r="A34" s="2">
        <v>33</v>
      </c>
      <c r="B34" s="2" t="s">
        <v>52</v>
      </c>
      <c r="C34" s="2" t="s">
        <v>25</v>
      </c>
      <c r="D34" s="3">
        <v>44312</v>
      </c>
      <c r="E34" s="2" t="s">
        <v>26</v>
      </c>
      <c r="F34" s="4">
        <v>1388</v>
      </c>
      <c r="G34" s="6">
        <v>0.16500000000000001</v>
      </c>
      <c r="H34" s="4">
        <v>1388</v>
      </c>
      <c r="I34" s="6">
        <v>0.20599999999999999</v>
      </c>
      <c r="J34" s="4">
        <v>1070</v>
      </c>
      <c r="K34" s="5">
        <v>0.73499999999999999</v>
      </c>
      <c r="L34" s="4">
        <v>8422</v>
      </c>
      <c r="M34" s="2">
        <v>15.5</v>
      </c>
      <c r="N34" s="2">
        <v>3.43</v>
      </c>
      <c r="O34" s="2">
        <v>17.600000000000001</v>
      </c>
      <c r="P34" s="2">
        <v>20.100000000000001</v>
      </c>
      <c r="Q34" s="2">
        <v>17.28</v>
      </c>
    </row>
    <row r="35" spans="1:17" x14ac:dyDescent="0.25">
      <c r="A35" s="2">
        <v>34</v>
      </c>
      <c r="B35" s="2" t="s">
        <v>53</v>
      </c>
      <c r="C35" s="2" t="s">
        <v>17</v>
      </c>
      <c r="D35" s="3">
        <v>44312</v>
      </c>
      <c r="E35" s="2">
        <v>163.71</v>
      </c>
      <c r="F35" s="4">
        <v>120303</v>
      </c>
      <c r="G35" s="5">
        <v>0.32800000000000001</v>
      </c>
      <c r="H35" s="4">
        <v>120195</v>
      </c>
      <c r="I35" s="5">
        <v>0.40400000000000003</v>
      </c>
      <c r="J35" s="4">
        <v>77843</v>
      </c>
      <c r="K35" s="5">
        <v>0.78300000000000003</v>
      </c>
      <c r="L35" s="4">
        <v>367118</v>
      </c>
      <c r="M35" s="2">
        <v>386.13</v>
      </c>
      <c r="N35" s="2">
        <v>2.5499999999999998</v>
      </c>
      <c r="O35" s="2">
        <v>11.6</v>
      </c>
      <c r="P35" s="2">
        <v>12.5</v>
      </c>
      <c r="Q35" s="2">
        <v>27.07</v>
      </c>
    </row>
    <row r="36" spans="1:17" x14ac:dyDescent="0.25">
      <c r="A36" s="2">
        <v>35</v>
      </c>
      <c r="B36" s="2" t="s">
        <v>54</v>
      </c>
      <c r="C36" s="2" t="s">
        <v>17</v>
      </c>
      <c r="D36" s="3">
        <v>44312</v>
      </c>
      <c r="E36" s="2">
        <v>210.1</v>
      </c>
      <c r="F36" s="4">
        <v>217993</v>
      </c>
      <c r="G36" s="5">
        <v>0.28299999999999997</v>
      </c>
      <c r="H36" s="4">
        <v>217937</v>
      </c>
      <c r="I36" s="5">
        <v>0.34200000000000003</v>
      </c>
      <c r="J36" s="4">
        <v>152638</v>
      </c>
      <c r="K36" s="5">
        <v>0.68</v>
      </c>
      <c r="L36" s="4">
        <v>770577</v>
      </c>
      <c r="M36" s="2">
        <v>986.08</v>
      </c>
      <c r="N36" s="2">
        <v>2.61</v>
      </c>
      <c r="O36" s="2">
        <v>14.3</v>
      </c>
      <c r="P36" s="2">
        <v>14</v>
      </c>
      <c r="Q36" s="2">
        <v>29.15</v>
      </c>
    </row>
    <row r="37" spans="1:17" x14ac:dyDescent="0.25">
      <c r="A37" s="2">
        <v>36</v>
      </c>
      <c r="B37" s="2" t="s">
        <v>55</v>
      </c>
      <c r="C37" s="2" t="s">
        <v>17</v>
      </c>
      <c r="D37" s="3">
        <v>44312</v>
      </c>
      <c r="E37" s="2">
        <v>106.61</v>
      </c>
      <c r="F37" s="4">
        <v>78478</v>
      </c>
      <c r="G37" s="5">
        <v>0.26700000000000002</v>
      </c>
      <c r="H37" s="4">
        <v>78324</v>
      </c>
      <c r="I37" s="5">
        <v>0.32800000000000001</v>
      </c>
      <c r="J37" s="4">
        <v>31988</v>
      </c>
      <c r="K37" s="5">
        <v>0.78400000000000003</v>
      </c>
      <c r="L37" s="4">
        <v>293582</v>
      </c>
      <c r="M37" s="2">
        <v>440.23</v>
      </c>
      <c r="N37" s="2">
        <v>2.4300000000000002</v>
      </c>
      <c r="O37" s="2">
        <v>8.1999999999999993</v>
      </c>
      <c r="P37" s="2">
        <v>20.399999999999999</v>
      </c>
      <c r="Q37" s="2">
        <v>13.89</v>
      </c>
    </row>
    <row r="38" spans="1:17" x14ac:dyDescent="0.25">
      <c r="A38" s="2">
        <v>37</v>
      </c>
      <c r="B38" s="2" t="s">
        <v>56</v>
      </c>
      <c r="C38" s="2" t="s">
        <v>17</v>
      </c>
      <c r="D38" s="3">
        <v>44312</v>
      </c>
      <c r="E38" s="2">
        <v>207.21</v>
      </c>
      <c r="F38" s="4">
        <v>8400</v>
      </c>
      <c r="G38" s="5">
        <v>0.20200000000000001</v>
      </c>
      <c r="H38" s="4">
        <v>8394</v>
      </c>
      <c r="I38" s="6">
        <v>0.251</v>
      </c>
      <c r="J38" s="4">
        <v>5634</v>
      </c>
      <c r="K38" s="5">
        <v>0.54</v>
      </c>
      <c r="L38" s="4">
        <v>41503</v>
      </c>
      <c r="M38" s="2">
        <v>37.119999999999997</v>
      </c>
      <c r="N38" s="2">
        <v>2.41</v>
      </c>
      <c r="O38" s="2">
        <v>15.5</v>
      </c>
      <c r="P38" s="2">
        <v>20.7</v>
      </c>
      <c r="Q38" s="2">
        <v>25.15</v>
      </c>
    </row>
    <row r="39" spans="1:17" x14ac:dyDescent="0.25">
      <c r="A39" s="2">
        <v>38</v>
      </c>
      <c r="B39" s="2" t="s">
        <v>57</v>
      </c>
      <c r="C39" s="2" t="s">
        <v>25</v>
      </c>
      <c r="D39" s="3">
        <v>44312</v>
      </c>
      <c r="E39" s="2" t="s">
        <v>26</v>
      </c>
      <c r="F39" s="4">
        <v>1211</v>
      </c>
      <c r="G39" s="6">
        <v>0.14499999999999999</v>
      </c>
      <c r="H39" s="4">
        <v>1211</v>
      </c>
      <c r="I39" s="6">
        <v>0.17499999999999999</v>
      </c>
      <c r="J39" s="2">
        <v>715</v>
      </c>
      <c r="K39" s="5">
        <v>0.56899999999999995</v>
      </c>
      <c r="L39" s="4">
        <v>8354</v>
      </c>
      <c r="M39" s="2">
        <v>10</v>
      </c>
      <c r="N39" s="2">
        <v>2.9</v>
      </c>
      <c r="O39" s="2">
        <v>18.5</v>
      </c>
      <c r="P39" s="2">
        <v>13</v>
      </c>
      <c r="Q39" s="2">
        <v>15.04</v>
      </c>
    </row>
    <row r="40" spans="1:17" x14ac:dyDescent="0.25">
      <c r="A40" s="2">
        <v>39</v>
      </c>
      <c r="B40" s="2" t="s">
        <v>58</v>
      </c>
      <c r="C40" s="2" t="s">
        <v>25</v>
      </c>
      <c r="D40" s="3">
        <v>44312</v>
      </c>
      <c r="E40" s="2" t="s">
        <v>26</v>
      </c>
      <c r="F40" s="4">
        <v>4005</v>
      </c>
      <c r="G40" s="5">
        <v>0.217</v>
      </c>
      <c r="H40" s="4">
        <v>4004</v>
      </c>
      <c r="I40" s="5">
        <v>0.26500000000000001</v>
      </c>
      <c r="J40" s="4">
        <v>2459</v>
      </c>
      <c r="K40" s="5">
        <v>0.63</v>
      </c>
      <c r="L40" s="4">
        <v>18493</v>
      </c>
      <c r="M40" s="2">
        <v>26.55</v>
      </c>
      <c r="N40" s="2">
        <v>2.4500000000000002</v>
      </c>
      <c r="O40" s="2">
        <v>13.1</v>
      </c>
      <c r="P40" s="2">
        <v>28.2</v>
      </c>
      <c r="Q40" s="2">
        <v>21.1</v>
      </c>
    </row>
    <row r="41" spans="1:17" x14ac:dyDescent="0.25">
      <c r="A41" s="2">
        <v>40</v>
      </c>
      <c r="B41" s="2" t="s">
        <v>59</v>
      </c>
      <c r="C41" s="2" t="s">
        <v>17</v>
      </c>
      <c r="D41" s="3">
        <v>44312</v>
      </c>
      <c r="E41" s="2">
        <v>194.67</v>
      </c>
      <c r="F41" s="4">
        <v>113679</v>
      </c>
      <c r="G41" s="5">
        <v>0.28199999999999997</v>
      </c>
      <c r="H41" s="4">
        <v>113633</v>
      </c>
      <c r="I41" s="5">
        <v>0.34399999999999997</v>
      </c>
      <c r="J41" s="4">
        <v>74915</v>
      </c>
      <c r="K41" s="5">
        <v>0.66200000000000003</v>
      </c>
      <c r="L41" s="4">
        <v>403253</v>
      </c>
      <c r="M41" s="2">
        <v>542.28</v>
      </c>
      <c r="N41" s="2">
        <v>2.57</v>
      </c>
      <c r="O41" s="2">
        <v>12.7</v>
      </c>
      <c r="P41" s="2">
        <v>12.5</v>
      </c>
      <c r="Q41" s="2">
        <v>28.06</v>
      </c>
    </row>
    <row r="42" spans="1:17" x14ac:dyDescent="0.25">
      <c r="A42" s="2">
        <v>41</v>
      </c>
      <c r="B42" s="2" t="s">
        <v>60</v>
      </c>
      <c r="C42" s="2" t="s">
        <v>17</v>
      </c>
      <c r="D42" s="3">
        <v>44312</v>
      </c>
      <c r="E42" s="2">
        <v>120.63</v>
      </c>
      <c r="F42" s="4">
        <v>99401</v>
      </c>
      <c r="G42" s="5">
        <v>0.27200000000000002</v>
      </c>
      <c r="H42" s="4">
        <v>99356</v>
      </c>
      <c r="I42" s="5">
        <v>0.33300000000000002</v>
      </c>
      <c r="J42" s="4">
        <v>67548</v>
      </c>
      <c r="K42" s="5">
        <v>0.63300000000000001</v>
      </c>
      <c r="L42" s="4">
        <v>365579</v>
      </c>
      <c r="M42" s="2">
        <v>230.15</v>
      </c>
      <c r="N42" s="2">
        <v>2.48</v>
      </c>
      <c r="O42" s="2">
        <v>12.3</v>
      </c>
      <c r="P42" s="2">
        <v>16.600000000000001</v>
      </c>
      <c r="Q42" s="2">
        <v>29.18</v>
      </c>
    </row>
    <row r="43" spans="1:17" x14ac:dyDescent="0.25">
      <c r="A43" s="2">
        <v>42</v>
      </c>
      <c r="B43" s="2" t="s">
        <v>61</v>
      </c>
      <c r="C43" s="2" t="s">
        <v>17</v>
      </c>
      <c r="D43" s="3">
        <v>44312</v>
      </c>
      <c r="E43" s="2">
        <v>108.07</v>
      </c>
      <c r="F43" s="4">
        <v>53060</v>
      </c>
      <c r="G43" s="5">
        <v>0.33</v>
      </c>
      <c r="H43" s="4">
        <v>53037</v>
      </c>
      <c r="I43" s="5">
        <v>0.39300000000000002</v>
      </c>
      <c r="J43" s="4">
        <v>37359</v>
      </c>
      <c r="K43" s="6">
        <v>0.73599999999999999</v>
      </c>
      <c r="L43" s="4">
        <v>161000</v>
      </c>
      <c r="M43" s="2">
        <v>296.05</v>
      </c>
      <c r="N43" s="2">
        <v>2.41</v>
      </c>
      <c r="O43" s="2">
        <v>11.5</v>
      </c>
      <c r="P43" s="2">
        <v>10.5</v>
      </c>
      <c r="Q43" s="2">
        <v>31.53</v>
      </c>
    </row>
    <row r="44" spans="1:17" x14ac:dyDescent="0.25">
      <c r="A44" s="2">
        <v>43</v>
      </c>
      <c r="B44" s="2" t="s">
        <v>62</v>
      </c>
      <c r="C44" s="2" t="s">
        <v>17</v>
      </c>
      <c r="D44" s="3">
        <v>44312</v>
      </c>
      <c r="E44" s="2">
        <v>326.62</v>
      </c>
      <c r="F44" s="4">
        <v>765200</v>
      </c>
      <c r="G44" s="5">
        <v>0.28199999999999997</v>
      </c>
      <c r="H44" s="4">
        <v>763325</v>
      </c>
      <c r="I44" s="5">
        <v>0.35199999999999998</v>
      </c>
      <c r="J44" s="4">
        <v>306495</v>
      </c>
      <c r="K44" s="5">
        <v>0.67700000000000005</v>
      </c>
      <c r="L44" s="4">
        <v>2716940</v>
      </c>
      <c r="M44" s="7">
        <v>1430.09</v>
      </c>
      <c r="N44" s="2">
        <v>3.07</v>
      </c>
      <c r="O44" s="2">
        <v>18.100000000000001</v>
      </c>
      <c r="P44" s="2">
        <v>18</v>
      </c>
      <c r="Q44" s="2">
        <v>16.66</v>
      </c>
    </row>
    <row r="45" spans="1:17" x14ac:dyDescent="0.25">
      <c r="A45" s="2">
        <v>44</v>
      </c>
      <c r="B45" s="2" t="s">
        <v>63</v>
      </c>
      <c r="C45" s="2" t="s">
        <v>17</v>
      </c>
      <c r="D45" s="3">
        <v>44312</v>
      </c>
      <c r="E45" s="2">
        <v>115.86</v>
      </c>
      <c r="F45" s="4">
        <v>24828</v>
      </c>
      <c r="G45" s="5">
        <v>0.33400000000000002</v>
      </c>
      <c r="H45" s="4">
        <v>24818</v>
      </c>
      <c r="I45" s="6">
        <v>0.39400000000000002</v>
      </c>
      <c r="J45" s="4">
        <v>14051</v>
      </c>
      <c r="K45" s="6">
        <v>0.79700000000000004</v>
      </c>
      <c r="L45" s="4">
        <v>74228</v>
      </c>
      <c r="M45" s="2">
        <v>75.510000000000005</v>
      </c>
      <c r="N45" s="2">
        <v>2.39</v>
      </c>
      <c r="O45" s="2">
        <v>17.8</v>
      </c>
      <c r="P45" s="2">
        <v>11.8</v>
      </c>
      <c r="Q45" s="2">
        <v>23.75</v>
      </c>
    </row>
    <row r="46" spans="1:17" x14ac:dyDescent="0.25">
      <c r="A46" s="2">
        <v>45</v>
      </c>
      <c r="B46" s="2" t="s">
        <v>64</v>
      </c>
      <c r="C46" s="2" t="s">
        <v>17</v>
      </c>
      <c r="D46" s="3">
        <v>44312</v>
      </c>
      <c r="E46" s="2">
        <v>122.99</v>
      </c>
      <c r="F46" s="4">
        <v>27753</v>
      </c>
      <c r="G46" s="5">
        <v>0.313</v>
      </c>
      <c r="H46" s="4">
        <v>27734</v>
      </c>
      <c r="I46" s="5">
        <v>0.39</v>
      </c>
      <c r="J46" s="4">
        <v>15862</v>
      </c>
      <c r="K46" s="5">
        <v>0.78400000000000003</v>
      </c>
      <c r="L46" s="4">
        <v>88625</v>
      </c>
      <c r="M46" s="2">
        <v>136.62</v>
      </c>
      <c r="N46" s="2">
        <v>2.5499999999999998</v>
      </c>
      <c r="O46" s="2">
        <v>11</v>
      </c>
      <c r="P46" s="2">
        <v>10.199999999999999</v>
      </c>
      <c r="Q46" s="2">
        <v>22.83</v>
      </c>
    </row>
    <row r="47" spans="1:17" x14ac:dyDescent="0.25">
      <c r="A47" s="2">
        <v>46</v>
      </c>
      <c r="B47" s="2" t="s">
        <v>65</v>
      </c>
      <c r="C47" s="2" t="s">
        <v>19</v>
      </c>
      <c r="D47" s="3">
        <v>44312</v>
      </c>
      <c r="E47" s="2">
        <v>81.14</v>
      </c>
      <c r="F47" s="4">
        <v>48889</v>
      </c>
      <c r="G47" s="6">
        <v>0.23200000000000001</v>
      </c>
      <c r="H47" s="4">
        <v>48859</v>
      </c>
      <c r="I47" s="5">
        <v>0.29799999999999999</v>
      </c>
      <c r="J47" s="4">
        <v>24797</v>
      </c>
      <c r="K47" s="5">
        <v>0.72099999999999997</v>
      </c>
      <c r="L47" s="4">
        <v>210738</v>
      </c>
      <c r="M47" s="2">
        <v>226.55</v>
      </c>
      <c r="N47" s="2">
        <v>2.52</v>
      </c>
      <c r="O47" s="2">
        <v>12.2</v>
      </c>
      <c r="P47" s="2">
        <v>11.5</v>
      </c>
      <c r="Q47" s="2">
        <v>16.309999999999999</v>
      </c>
    </row>
    <row r="48" spans="1:17" x14ac:dyDescent="0.25">
      <c r="A48" s="2">
        <v>47</v>
      </c>
      <c r="B48" s="2" t="s">
        <v>66</v>
      </c>
      <c r="C48" s="2" t="s">
        <v>17</v>
      </c>
      <c r="D48" s="3">
        <v>44312</v>
      </c>
      <c r="E48" s="2">
        <v>104.34</v>
      </c>
      <c r="F48" s="4">
        <v>7924</v>
      </c>
      <c r="G48" s="5">
        <v>0.188</v>
      </c>
      <c r="H48" s="4">
        <v>7922</v>
      </c>
      <c r="I48" s="5">
        <v>0.23899999999999999</v>
      </c>
      <c r="J48" s="4">
        <v>5579</v>
      </c>
      <c r="K48" s="6">
        <v>0.65800000000000003</v>
      </c>
      <c r="L48" s="4">
        <v>42168</v>
      </c>
      <c r="M48" s="2">
        <v>54.82</v>
      </c>
      <c r="N48" s="2">
        <v>2.73</v>
      </c>
      <c r="O48" s="2">
        <v>18.100000000000001</v>
      </c>
      <c r="P48" s="2">
        <v>22.7</v>
      </c>
      <c r="Q48" s="2">
        <v>20.12</v>
      </c>
    </row>
    <row r="49" spans="1:17" x14ac:dyDescent="0.25">
      <c r="A49" s="2">
        <v>48</v>
      </c>
      <c r="B49" s="2" t="s">
        <v>67</v>
      </c>
      <c r="C49" s="2" t="s">
        <v>17</v>
      </c>
      <c r="D49" s="3">
        <v>44312</v>
      </c>
      <c r="E49" s="2">
        <v>205.03</v>
      </c>
      <c r="F49" s="4">
        <v>347095</v>
      </c>
      <c r="G49" s="5">
        <v>0.249</v>
      </c>
      <c r="H49" s="4">
        <v>346295</v>
      </c>
      <c r="I49" s="5">
        <v>0.318</v>
      </c>
      <c r="J49" s="4">
        <v>120140</v>
      </c>
      <c r="K49" s="5">
        <v>0.7</v>
      </c>
      <c r="L49" s="4">
        <v>1393452</v>
      </c>
      <c r="M49" s="7">
        <v>1545.08</v>
      </c>
      <c r="N49" s="2">
        <v>2.81</v>
      </c>
      <c r="O49" s="2">
        <v>14.5</v>
      </c>
      <c r="P49" s="2">
        <v>16.100000000000001</v>
      </c>
      <c r="Q49" s="2">
        <v>12.31</v>
      </c>
    </row>
    <row r="50" spans="1:17" x14ac:dyDescent="0.25">
      <c r="A50" s="2">
        <v>49</v>
      </c>
      <c r="B50" s="2" t="s">
        <v>68</v>
      </c>
      <c r="C50" s="2" t="s">
        <v>17</v>
      </c>
      <c r="D50" s="3">
        <v>44312</v>
      </c>
      <c r="E50" s="2">
        <v>292.20999999999998</v>
      </c>
      <c r="F50" s="4">
        <v>84028</v>
      </c>
      <c r="G50" s="5">
        <v>0.224</v>
      </c>
      <c r="H50" s="4">
        <v>83927</v>
      </c>
      <c r="I50" s="5">
        <v>0.29399999999999998</v>
      </c>
      <c r="J50" s="4">
        <v>35977</v>
      </c>
      <c r="K50" s="5">
        <v>0.70799999999999996</v>
      </c>
      <c r="L50" s="4">
        <v>375751</v>
      </c>
      <c r="M50" s="2">
        <v>283.04000000000002</v>
      </c>
      <c r="N50" s="2">
        <v>3.4</v>
      </c>
      <c r="O50" s="2">
        <v>15.8</v>
      </c>
      <c r="P50" s="2">
        <v>16.3</v>
      </c>
      <c r="Q50" s="2">
        <v>13.52</v>
      </c>
    </row>
    <row r="51" spans="1:17" x14ac:dyDescent="0.25">
      <c r="A51" s="2">
        <v>50</v>
      </c>
      <c r="B51" s="2" t="s">
        <v>69</v>
      </c>
      <c r="C51" s="2" t="s">
        <v>17</v>
      </c>
      <c r="D51" s="3">
        <v>44312</v>
      </c>
      <c r="E51" s="2">
        <v>185.33</v>
      </c>
      <c r="F51" s="4">
        <v>433276</v>
      </c>
      <c r="G51" s="5">
        <v>0.28899999999999998</v>
      </c>
      <c r="H51" s="4">
        <v>432733</v>
      </c>
      <c r="I51" s="5">
        <v>0.35699999999999998</v>
      </c>
      <c r="J51" s="4">
        <v>252531</v>
      </c>
      <c r="K51" s="5">
        <v>0.69299999999999995</v>
      </c>
      <c r="L51" s="4">
        <v>1496770</v>
      </c>
      <c r="M51" s="2">
        <v>761.99</v>
      </c>
      <c r="N51" s="2">
        <v>2.6</v>
      </c>
      <c r="O51" s="2">
        <v>13.6</v>
      </c>
      <c r="P51" s="2">
        <v>12.8</v>
      </c>
      <c r="Q51" s="2">
        <v>24.36</v>
      </c>
    </row>
    <row r="52" spans="1:17" x14ac:dyDescent="0.25">
      <c r="A52" s="2">
        <v>51</v>
      </c>
      <c r="B52" s="2" t="s">
        <v>70</v>
      </c>
      <c r="C52" s="2" t="s">
        <v>17</v>
      </c>
      <c r="D52" s="3">
        <v>44312</v>
      </c>
      <c r="E52" s="2">
        <v>199.84</v>
      </c>
      <c r="F52" s="4">
        <v>137814</v>
      </c>
      <c r="G52" s="5">
        <v>0.249</v>
      </c>
      <c r="H52" s="4">
        <v>137694</v>
      </c>
      <c r="I52" s="5">
        <v>0.312</v>
      </c>
      <c r="J52" s="4">
        <v>78386</v>
      </c>
      <c r="K52" s="5">
        <v>0.625</v>
      </c>
      <c r="L52" s="4">
        <v>553947</v>
      </c>
      <c r="M52" s="2">
        <v>741.98</v>
      </c>
      <c r="N52" s="2">
        <v>2.52</v>
      </c>
      <c r="O52" s="2">
        <v>11.8</v>
      </c>
      <c r="P52" s="2">
        <v>13.5</v>
      </c>
      <c r="Q52" s="2">
        <v>22.65</v>
      </c>
    </row>
    <row r="53" spans="1:17" x14ac:dyDescent="0.25">
      <c r="A53" s="2">
        <v>52</v>
      </c>
      <c r="B53" s="2" t="s">
        <v>71</v>
      </c>
      <c r="C53" s="2" t="s">
        <v>17</v>
      </c>
      <c r="D53" s="3">
        <v>44312</v>
      </c>
      <c r="E53" s="2">
        <v>142.36000000000001</v>
      </c>
      <c r="F53" s="4">
        <v>308346</v>
      </c>
      <c r="G53" s="5">
        <v>0.316</v>
      </c>
      <c r="H53" s="4">
        <v>308088</v>
      </c>
      <c r="I53" s="5">
        <v>0.376</v>
      </c>
      <c r="J53" s="4">
        <v>164801</v>
      </c>
      <c r="K53" s="5">
        <v>0.66600000000000004</v>
      </c>
      <c r="L53" s="4">
        <v>974996</v>
      </c>
      <c r="M53" s="7">
        <v>3561.28</v>
      </c>
      <c r="N53" s="2">
        <v>2.31</v>
      </c>
      <c r="O53" s="2">
        <v>11.5</v>
      </c>
      <c r="P53" s="2">
        <v>13</v>
      </c>
      <c r="Q53" s="2">
        <v>25.4</v>
      </c>
    </row>
    <row r="54" spans="1:17" x14ac:dyDescent="0.25">
      <c r="A54" s="2">
        <v>53</v>
      </c>
      <c r="B54" s="2" t="s">
        <v>72</v>
      </c>
      <c r="C54" s="2" t="s">
        <v>17</v>
      </c>
      <c r="D54" s="3">
        <v>44312</v>
      </c>
      <c r="E54" s="2">
        <v>221.59</v>
      </c>
      <c r="F54" s="4">
        <v>154257</v>
      </c>
      <c r="G54" s="5">
        <v>0.21299999999999999</v>
      </c>
      <c r="H54" s="4">
        <v>154139</v>
      </c>
      <c r="I54" s="5">
        <v>0.27300000000000002</v>
      </c>
      <c r="J54" s="4">
        <v>89638</v>
      </c>
      <c r="K54" s="5">
        <v>0.60499999999999998</v>
      </c>
      <c r="L54" s="4">
        <v>724777</v>
      </c>
      <c r="M54" s="2">
        <v>403.21</v>
      </c>
      <c r="N54" s="2">
        <v>2.84</v>
      </c>
      <c r="O54" s="2">
        <v>13.2</v>
      </c>
      <c r="P54" s="2">
        <v>16.600000000000001</v>
      </c>
      <c r="Q54" s="2">
        <v>20.440000000000001</v>
      </c>
    </row>
    <row r="55" spans="1:17" x14ac:dyDescent="0.25">
      <c r="A55" s="2">
        <v>54</v>
      </c>
      <c r="B55" s="2" t="s">
        <v>73</v>
      </c>
      <c r="C55" s="2" t="s">
        <v>17</v>
      </c>
      <c r="D55" s="3">
        <v>44312</v>
      </c>
      <c r="E55" s="2">
        <v>139.56</v>
      </c>
      <c r="F55" s="4">
        <v>12701</v>
      </c>
      <c r="G55" s="5">
        <v>0.17</v>
      </c>
      <c r="H55" s="4">
        <v>12698</v>
      </c>
      <c r="I55" s="5">
        <v>0.216</v>
      </c>
      <c r="J55" s="4">
        <v>8235</v>
      </c>
      <c r="K55" s="5">
        <v>0.46600000000000003</v>
      </c>
      <c r="L55" s="4">
        <v>74521</v>
      </c>
      <c r="M55" s="2">
        <v>102.38</v>
      </c>
      <c r="N55" s="2">
        <v>2.52</v>
      </c>
      <c r="O55" s="2">
        <v>16</v>
      </c>
      <c r="P55" s="2">
        <v>24.8</v>
      </c>
      <c r="Q55" s="2">
        <v>23.72</v>
      </c>
    </row>
    <row r="56" spans="1:17" x14ac:dyDescent="0.25">
      <c r="A56" s="2">
        <v>55</v>
      </c>
      <c r="B56" s="2" t="s">
        <v>74</v>
      </c>
      <c r="C56" s="2" t="s">
        <v>19</v>
      </c>
      <c r="D56" s="3">
        <v>44312</v>
      </c>
      <c r="E56" s="2">
        <v>55.88</v>
      </c>
      <c r="F56" s="4">
        <v>38392</v>
      </c>
      <c r="G56" s="5">
        <v>0.20799999999999999</v>
      </c>
      <c r="H56" s="4">
        <v>38353</v>
      </c>
      <c r="I56" s="5">
        <v>0.26600000000000001</v>
      </c>
      <c r="J56" s="4">
        <v>20450</v>
      </c>
      <c r="K56" s="5">
        <v>0.67900000000000005</v>
      </c>
      <c r="L56" s="4">
        <v>184313</v>
      </c>
      <c r="M56" s="2">
        <v>182.06</v>
      </c>
      <c r="N56" s="2">
        <v>2.68</v>
      </c>
      <c r="O56" s="2">
        <v>10</v>
      </c>
      <c r="P56" s="2">
        <v>9.8000000000000007</v>
      </c>
      <c r="Q56" s="2">
        <v>16.34</v>
      </c>
    </row>
    <row r="57" spans="1:17" x14ac:dyDescent="0.25">
      <c r="A57" s="2">
        <v>56</v>
      </c>
      <c r="B57" s="2" t="s">
        <v>75</v>
      </c>
      <c r="C57" s="2" t="s">
        <v>17</v>
      </c>
      <c r="D57" s="3">
        <v>44312</v>
      </c>
      <c r="E57" s="2">
        <v>169.46</v>
      </c>
      <c r="F57" s="4">
        <v>162740</v>
      </c>
      <c r="G57" s="5">
        <v>0.375</v>
      </c>
      <c r="H57" s="4">
        <v>162647</v>
      </c>
      <c r="I57" s="5">
        <v>0.436</v>
      </c>
      <c r="J57" s="4">
        <v>117368</v>
      </c>
      <c r="K57" s="5">
        <v>0.72499999999999998</v>
      </c>
      <c r="L57" s="4">
        <v>433742</v>
      </c>
      <c r="M57" s="2">
        <v>780.13</v>
      </c>
      <c r="N57" s="2">
        <v>2.25</v>
      </c>
      <c r="O57" s="2">
        <v>11.4</v>
      </c>
      <c r="P57" s="2">
        <v>9.6999999999999993</v>
      </c>
      <c r="Q57" s="2">
        <v>37.340000000000003</v>
      </c>
    </row>
    <row r="58" spans="1:17" x14ac:dyDescent="0.25">
      <c r="A58" s="2">
        <v>57</v>
      </c>
      <c r="B58" s="2" t="s">
        <v>76</v>
      </c>
      <c r="C58" s="2" t="s">
        <v>17</v>
      </c>
      <c r="D58" s="3">
        <v>44312</v>
      </c>
      <c r="E58" s="2">
        <v>205.8</v>
      </c>
      <c r="F58" s="4">
        <v>114263</v>
      </c>
      <c r="G58" s="5">
        <v>0.24199999999999999</v>
      </c>
      <c r="H58" s="4">
        <v>114045</v>
      </c>
      <c r="I58" s="5">
        <v>0.30499999999999999</v>
      </c>
      <c r="J58" s="4">
        <v>49154</v>
      </c>
      <c r="K58" s="5">
        <v>0.65200000000000002</v>
      </c>
      <c r="L58" s="4">
        <v>471826</v>
      </c>
      <c r="M58" s="7">
        <v>1525.34</v>
      </c>
      <c r="N58" s="2">
        <v>2.7</v>
      </c>
      <c r="O58" s="2">
        <v>10.4</v>
      </c>
      <c r="P58" s="2">
        <v>11.4</v>
      </c>
      <c r="Q58" s="2">
        <v>15.98</v>
      </c>
    </row>
    <row r="59" spans="1:17" x14ac:dyDescent="0.25">
      <c r="A59" s="2">
        <v>58</v>
      </c>
      <c r="B59" s="2" t="s">
        <v>77</v>
      </c>
      <c r="C59" s="2" t="s">
        <v>17</v>
      </c>
      <c r="D59" s="3">
        <v>44312</v>
      </c>
      <c r="E59" s="2">
        <v>117.5</v>
      </c>
      <c r="F59" s="4">
        <v>94027</v>
      </c>
      <c r="G59" s="5">
        <v>0.35499999999999998</v>
      </c>
      <c r="H59" s="4">
        <v>93818</v>
      </c>
      <c r="I59" s="5">
        <v>0.45200000000000001</v>
      </c>
      <c r="J59" s="4">
        <v>46153</v>
      </c>
      <c r="K59" s="5">
        <v>0.84399999999999997</v>
      </c>
      <c r="L59" s="4">
        <v>264672</v>
      </c>
      <c r="M59" s="2">
        <v>440.71</v>
      </c>
      <c r="N59" s="2">
        <v>2.7</v>
      </c>
      <c r="O59" s="2">
        <v>8.4</v>
      </c>
      <c r="P59" s="2">
        <v>8.4</v>
      </c>
      <c r="Q59" s="2">
        <v>20.65</v>
      </c>
    </row>
    <row r="60" spans="1:17" x14ac:dyDescent="0.25">
      <c r="A60" s="2">
        <v>59</v>
      </c>
      <c r="B60" s="2" t="s">
        <v>78</v>
      </c>
      <c r="C60" s="2" t="s">
        <v>17</v>
      </c>
      <c r="D60" s="3">
        <v>44312</v>
      </c>
      <c r="E60" s="2">
        <v>157.78</v>
      </c>
      <c r="F60" s="4">
        <v>77316</v>
      </c>
      <c r="G60" s="5">
        <v>0.23599999999999999</v>
      </c>
      <c r="H60" s="4">
        <v>77287</v>
      </c>
      <c r="I60" s="5">
        <v>0.29299999999999998</v>
      </c>
      <c r="J60" s="4">
        <v>49754</v>
      </c>
      <c r="K60" s="5">
        <v>0.61499999999999999</v>
      </c>
      <c r="L60" s="4">
        <v>328297</v>
      </c>
      <c r="M60" s="2">
        <v>574.29999999999995</v>
      </c>
      <c r="N60" s="2">
        <v>2.68</v>
      </c>
      <c r="O60" s="2">
        <v>14</v>
      </c>
      <c r="P60" s="2">
        <v>15</v>
      </c>
      <c r="Q60" s="2">
        <v>24.65</v>
      </c>
    </row>
    <row r="61" spans="1:17" x14ac:dyDescent="0.25">
      <c r="A61" s="2">
        <v>60</v>
      </c>
      <c r="B61" s="2" t="s">
        <v>79</v>
      </c>
      <c r="C61" s="2" t="s">
        <v>19</v>
      </c>
      <c r="D61" s="3">
        <v>44312</v>
      </c>
      <c r="E61" s="2">
        <v>84.58</v>
      </c>
      <c r="F61" s="4">
        <v>74319</v>
      </c>
      <c r="G61" s="5">
        <v>0.56100000000000005</v>
      </c>
      <c r="H61" s="4">
        <v>74308</v>
      </c>
      <c r="I61" s="5">
        <v>0.60399999999999998</v>
      </c>
      <c r="J61" s="4">
        <v>62861</v>
      </c>
      <c r="K61" s="5">
        <v>0.81599999999999995</v>
      </c>
      <c r="L61" s="4">
        <v>132420</v>
      </c>
      <c r="M61" s="2">
        <v>237.68</v>
      </c>
      <c r="N61" s="2">
        <v>2.04</v>
      </c>
      <c r="O61" s="2">
        <v>6.2</v>
      </c>
      <c r="P61" s="2">
        <v>8.8000000000000007</v>
      </c>
      <c r="Q61" s="2">
        <v>58.17</v>
      </c>
    </row>
    <row r="62" spans="1:17" x14ac:dyDescent="0.25">
      <c r="A62" s="2">
        <v>61</v>
      </c>
      <c r="B62" s="2" t="s">
        <v>80</v>
      </c>
      <c r="C62" s="2" t="s">
        <v>25</v>
      </c>
      <c r="D62" s="3">
        <v>44312</v>
      </c>
      <c r="E62" s="2">
        <v>38.270000000000003</v>
      </c>
      <c r="F62" s="4">
        <v>7989</v>
      </c>
      <c r="G62" s="5">
        <v>0.18</v>
      </c>
      <c r="H62" s="4">
        <v>7987</v>
      </c>
      <c r="I62" s="5">
        <v>0.22800000000000001</v>
      </c>
      <c r="J62" s="4">
        <v>5298</v>
      </c>
      <c r="K62" s="5">
        <v>0.54900000000000004</v>
      </c>
      <c r="L62" s="4">
        <v>44417</v>
      </c>
      <c r="M62" s="2">
        <v>64.510000000000005</v>
      </c>
      <c r="N62" s="2">
        <v>2.81</v>
      </c>
      <c r="O62" s="2">
        <v>13.9</v>
      </c>
      <c r="P62" s="2">
        <v>17.8</v>
      </c>
      <c r="Q62" s="2">
        <v>21.73</v>
      </c>
    </row>
    <row r="63" spans="1:17" x14ac:dyDescent="0.25">
      <c r="A63" s="2">
        <v>62</v>
      </c>
      <c r="B63" s="2" t="s">
        <v>81</v>
      </c>
      <c r="C63" s="2" t="s">
        <v>25</v>
      </c>
      <c r="D63" s="3">
        <v>44312</v>
      </c>
      <c r="E63" s="2" t="s">
        <v>26</v>
      </c>
      <c r="F63" s="4">
        <v>3607</v>
      </c>
      <c r="G63" s="5">
        <v>0.16700000000000001</v>
      </c>
      <c r="H63" s="4">
        <v>3603</v>
      </c>
      <c r="I63" s="5">
        <v>0.20799999999999999</v>
      </c>
      <c r="J63" s="4">
        <v>2353</v>
      </c>
      <c r="K63" s="5">
        <v>0.52</v>
      </c>
      <c r="L63" s="4">
        <v>21569</v>
      </c>
      <c r="M63" s="2">
        <v>20.67</v>
      </c>
      <c r="N63" s="2">
        <v>2.4700000000000002</v>
      </c>
      <c r="O63" s="2">
        <v>10.9</v>
      </c>
      <c r="P63" s="2">
        <v>19.8</v>
      </c>
      <c r="Q63" s="2">
        <v>20.98</v>
      </c>
    </row>
    <row r="64" spans="1:17" x14ac:dyDescent="0.25">
      <c r="A64" s="2">
        <v>63</v>
      </c>
      <c r="B64" s="2" t="s">
        <v>82</v>
      </c>
      <c r="C64" s="2" t="s">
        <v>19</v>
      </c>
      <c r="D64" s="3">
        <v>44312</v>
      </c>
      <c r="E64" s="2">
        <v>78.760000000000005</v>
      </c>
      <c r="F64" s="4">
        <v>1829</v>
      </c>
      <c r="G64" s="5">
        <v>0.12</v>
      </c>
      <c r="H64" s="4">
        <v>1829</v>
      </c>
      <c r="I64" s="6">
        <v>0.15</v>
      </c>
      <c r="J64" s="4">
        <v>1127</v>
      </c>
      <c r="K64" s="6">
        <v>0.48599999999999999</v>
      </c>
      <c r="L64" s="4">
        <v>15237</v>
      </c>
      <c r="M64" s="2">
        <v>62.56</v>
      </c>
      <c r="N64" s="2">
        <v>2.5</v>
      </c>
      <c r="O64" s="2">
        <v>12.4</v>
      </c>
      <c r="P64" s="2">
        <v>22</v>
      </c>
      <c r="Q64" s="2">
        <v>15.21</v>
      </c>
    </row>
    <row r="65" spans="1:17" x14ac:dyDescent="0.25">
      <c r="A65" s="2">
        <v>64</v>
      </c>
      <c r="B65" s="2" t="s">
        <v>83</v>
      </c>
      <c r="C65" s="2" t="s">
        <v>17</v>
      </c>
      <c r="D65" s="3">
        <v>44312</v>
      </c>
      <c r="E65" s="2">
        <v>186.88</v>
      </c>
      <c r="F65" s="4">
        <v>145989</v>
      </c>
      <c r="G65" s="5">
        <v>0.26400000000000001</v>
      </c>
      <c r="H65" s="4">
        <v>145929</v>
      </c>
      <c r="I65" s="5">
        <v>0.32</v>
      </c>
      <c r="J65" s="4">
        <v>92907</v>
      </c>
      <c r="K65" s="5">
        <v>0.67400000000000004</v>
      </c>
      <c r="L65" s="4">
        <v>553284</v>
      </c>
      <c r="M65" s="2">
        <v>502.42</v>
      </c>
      <c r="N65" s="2">
        <v>2.4300000000000002</v>
      </c>
      <c r="O65" s="2">
        <v>12.5</v>
      </c>
      <c r="P65" s="2">
        <v>15.2</v>
      </c>
      <c r="Q65" s="2">
        <v>24.91</v>
      </c>
    </row>
    <row r="66" spans="1:17" x14ac:dyDescent="0.25">
      <c r="A66" s="2">
        <v>65</v>
      </c>
      <c r="B66" s="2" t="s">
        <v>84</v>
      </c>
      <c r="C66" s="2" t="s">
        <v>17</v>
      </c>
      <c r="D66" s="3">
        <v>44312</v>
      </c>
      <c r="E66" s="2">
        <v>130.41</v>
      </c>
      <c r="F66" s="4">
        <v>7209</v>
      </c>
      <c r="G66" s="5">
        <v>0.214</v>
      </c>
      <c r="H66" s="4">
        <v>7204</v>
      </c>
      <c r="I66" s="5">
        <v>0.26900000000000002</v>
      </c>
      <c r="J66" s="4">
        <v>3959</v>
      </c>
      <c r="K66" s="5">
        <v>0.73799999999999999</v>
      </c>
      <c r="L66" s="4">
        <v>33739</v>
      </c>
      <c r="M66" s="2">
        <v>55.64</v>
      </c>
      <c r="N66" s="2">
        <v>2.56</v>
      </c>
      <c r="O66" s="2">
        <v>9</v>
      </c>
      <c r="P66" s="2">
        <v>11.5</v>
      </c>
      <c r="Q66" s="2">
        <v>15.9</v>
      </c>
    </row>
    <row r="67" spans="1:17" x14ac:dyDescent="0.25">
      <c r="A67" s="2">
        <v>66</v>
      </c>
      <c r="B67" s="2" t="s">
        <v>85</v>
      </c>
      <c r="C67" s="2" t="s">
        <v>17</v>
      </c>
      <c r="D67" s="3">
        <v>44312</v>
      </c>
      <c r="E67" s="2">
        <v>113.4</v>
      </c>
      <c r="F67" s="4">
        <v>15695</v>
      </c>
      <c r="G67" s="5">
        <v>0.21199999999999999</v>
      </c>
      <c r="H67" s="4">
        <v>15689</v>
      </c>
      <c r="I67" s="5">
        <v>0.26600000000000001</v>
      </c>
      <c r="J67" s="4">
        <v>9162</v>
      </c>
      <c r="K67" s="5">
        <v>0.61199999999999999</v>
      </c>
      <c r="L67" s="4">
        <v>74071</v>
      </c>
      <c r="M67" s="2">
        <v>71.38</v>
      </c>
      <c r="N67" s="2">
        <v>2.42</v>
      </c>
      <c r="O67" s="2">
        <v>13.5</v>
      </c>
      <c r="P67" s="2">
        <v>14.7</v>
      </c>
      <c r="Q67" s="2">
        <v>20.22</v>
      </c>
    </row>
    <row r="68" spans="1:17" x14ac:dyDescent="0.25">
      <c r="A68" s="1">
        <v>67</v>
      </c>
      <c r="B68" s="2" t="s">
        <v>86</v>
      </c>
      <c r="C68" s="2" t="s">
        <v>25</v>
      </c>
      <c r="D68" s="3">
        <v>44312</v>
      </c>
      <c r="E68" s="2" t="s">
        <v>26</v>
      </c>
      <c r="F68" s="4">
        <v>3466</v>
      </c>
      <c r="G68" s="5">
        <v>0.13600000000000001</v>
      </c>
      <c r="H68" s="4">
        <v>3463</v>
      </c>
      <c r="I68" s="5">
        <v>0.17</v>
      </c>
      <c r="J68" s="4">
        <v>2077</v>
      </c>
      <c r="K68" s="5">
        <v>0.47399999999999998</v>
      </c>
      <c r="L68" s="4">
        <v>25473</v>
      </c>
      <c r="M68" s="2">
        <v>43.57</v>
      </c>
      <c r="N68" s="2">
        <v>2.57</v>
      </c>
      <c r="O68" s="2">
        <v>12.8</v>
      </c>
      <c r="P68" s="2">
        <v>22.4</v>
      </c>
      <c r="Q68" s="2">
        <v>17.2</v>
      </c>
    </row>
    <row r="69" spans="1:17" ht="36" x14ac:dyDescent="0.25">
      <c r="B69" s="8" t="s">
        <v>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7BF78-3700-46EB-AE1E-E69811C8A0C1}">
  <dimension ref="A1:Q69"/>
  <sheetViews>
    <sheetView workbookViewId="0">
      <selection activeCell="G2" sqref="G2"/>
    </sheetView>
  </sheetViews>
  <sheetFormatPr defaultRowHeight="15.75" x14ac:dyDescent="0.25"/>
  <cols>
    <col min="1" max="1" width="2.375" bestFit="1" customWidth="1"/>
    <col min="2" max="2" width="9.5" bestFit="1" customWidth="1"/>
    <col min="3" max="3" width="15.875" bestFit="1" customWidth="1"/>
    <col min="4" max="4" width="10.125" bestFit="1" customWidth="1"/>
    <col min="5" max="5" width="10.25" bestFit="1" customWidth="1"/>
    <col min="6" max="6" width="8.125" bestFit="1" customWidth="1"/>
    <col min="7" max="7" width="13.875" bestFit="1" customWidth="1"/>
    <col min="8" max="8" width="9.875" bestFit="1" customWidth="1"/>
    <col min="9" max="9" width="15.625" bestFit="1" customWidth="1"/>
    <col min="10" max="10" width="9.875" bestFit="1" customWidth="1"/>
    <col min="11" max="11" width="15.625" bestFit="1" customWidth="1"/>
    <col min="12" max="12" width="12" bestFit="1" customWidth="1"/>
    <col min="13" max="13" width="13.75" bestFit="1" customWidth="1"/>
    <col min="14" max="14" width="9.5" bestFit="1" customWidth="1"/>
    <col min="15" max="15" width="13.375" bestFit="1" customWidth="1"/>
    <col min="16" max="16" width="9.125" bestFit="1" customWidth="1"/>
    <col min="17" max="17" width="6.125" bestFit="1" customWidth="1"/>
  </cols>
  <sheetData>
    <row r="1" spans="1:17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</row>
    <row r="2" spans="1:17" x14ac:dyDescent="0.25">
      <c r="A2" s="2">
        <v>1</v>
      </c>
      <c r="B2" s="2" t="s">
        <v>16</v>
      </c>
      <c r="C2" s="2" t="s">
        <v>17</v>
      </c>
      <c r="D2" s="3">
        <v>44313</v>
      </c>
      <c r="E2" s="2">
        <v>117.08</v>
      </c>
      <c r="F2" s="4">
        <v>81593</v>
      </c>
      <c r="G2" s="5">
        <v>0.30299999999999999</v>
      </c>
      <c r="H2" s="4">
        <v>81469</v>
      </c>
      <c r="I2" s="6">
        <v>0.36899999999999999</v>
      </c>
      <c r="J2" s="4">
        <v>31821</v>
      </c>
      <c r="K2" s="5">
        <v>0.81</v>
      </c>
      <c r="L2" s="4">
        <v>269043</v>
      </c>
      <c r="M2" s="2">
        <v>307.29000000000002</v>
      </c>
      <c r="N2" s="2">
        <v>2.54</v>
      </c>
      <c r="O2" s="2">
        <v>9.1999999999999993</v>
      </c>
      <c r="P2" s="2">
        <v>21.8</v>
      </c>
      <c r="Q2" s="2">
        <v>14.6</v>
      </c>
    </row>
    <row r="3" spans="1:17" x14ac:dyDescent="0.25">
      <c r="A3" s="2">
        <v>2</v>
      </c>
      <c r="B3" s="2" t="s">
        <v>18</v>
      </c>
      <c r="C3" s="2" t="s">
        <v>17</v>
      </c>
      <c r="D3" s="3">
        <v>44313</v>
      </c>
      <c r="E3" s="2">
        <v>130.09</v>
      </c>
      <c r="F3" s="4">
        <v>3866</v>
      </c>
      <c r="G3" s="5">
        <v>0.13200000000000001</v>
      </c>
      <c r="H3" s="4">
        <v>3866</v>
      </c>
      <c r="I3" s="5">
        <v>0.17399999999999999</v>
      </c>
      <c r="J3" s="4">
        <v>2240</v>
      </c>
      <c r="K3" s="5">
        <v>0.54400000000000004</v>
      </c>
      <c r="L3" s="4">
        <v>29210</v>
      </c>
      <c r="M3" s="2">
        <v>49.91</v>
      </c>
      <c r="N3" s="2">
        <v>2.92</v>
      </c>
      <c r="O3" s="2">
        <v>12.5</v>
      </c>
      <c r="P3" s="2">
        <v>14.6</v>
      </c>
      <c r="Q3" s="2">
        <v>14.09</v>
      </c>
    </row>
    <row r="4" spans="1:17" x14ac:dyDescent="0.25">
      <c r="A4" s="2">
        <v>3</v>
      </c>
      <c r="B4" s="2" t="s">
        <v>20</v>
      </c>
      <c r="C4" s="2" t="s">
        <v>19</v>
      </c>
      <c r="D4" s="3">
        <v>44313</v>
      </c>
      <c r="E4" s="2">
        <v>78.989999999999995</v>
      </c>
      <c r="F4" s="4">
        <v>38787</v>
      </c>
      <c r="G4" s="5">
        <v>0.222</v>
      </c>
      <c r="H4" s="4">
        <v>38762</v>
      </c>
      <c r="I4" s="5">
        <v>0.27900000000000003</v>
      </c>
      <c r="J4" s="4">
        <v>19657</v>
      </c>
      <c r="K4" s="6">
        <v>0.60399999999999998</v>
      </c>
      <c r="L4" s="4">
        <v>174705</v>
      </c>
      <c r="M4" s="2">
        <v>230.3</v>
      </c>
      <c r="N4" s="2">
        <v>2.57</v>
      </c>
      <c r="O4" s="2">
        <v>14.2</v>
      </c>
      <c r="P4" s="2">
        <v>14.7</v>
      </c>
      <c r="Q4" s="2">
        <v>18.62</v>
      </c>
    </row>
    <row r="5" spans="1:17" x14ac:dyDescent="0.25">
      <c r="A5" s="2">
        <v>4</v>
      </c>
      <c r="B5" s="2" t="s">
        <v>21</v>
      </c>
      <c r="C5" s="2" t="s">
        <v>19</v>
      </c>
      <c r="D5" s="3">
        <v>44313</v>
      </c>
      <c r="E5" s="2">
        <v>74.47</v>
      </c>
      <c r="F5" s="4">
        <v>4204</v>
      </c>
      <c r="G5" s="5">
        <v>0.14899999999999999</v>
      </c>
      <c r="H5" s="4">
        <v>4204</v>
      </c>
      <c r="I5" s="5">
        <v>0.185</v>
      </c>
      <c r="J5" s="4">
        <v>2585</v>
      </c>
      <c r="K5" s="5">
        <v>0.51</v>
      </c>
      <c r="L5" s="4">
        <v>28201</v>
      </c>
      <c r="M5" s="2">
        <v>95.93</v>
      </c>
      <c r="N5" s="2">
        <v>2.6</v>
      </c>
      <c r="O5" s="2">
        <v>12.4</v>
      </c>
      <c r="P5" s="2">
        <v>20.3</v>
      </c>
      <c r="Q5" s="2">
        <v>17.96</v>
      </c>
    </row>
    <row r="6" spans="1:17" x14ac:dyDescent="0.25">
      <c r="A6" s="2">
        <v>5</v>
      </c>
      <c r="B6" s="2" t="s">
        <v>22</v>
      </c>
      <c r="C6" s="2" t="s">
        <v>17</v>
      </c>
      <c r="D6" s="3">
        <v>44313</v>
      </c>
      <c r="E6" s="2">
        <v>155.83000000000001</v>
      </c>
      <c r="F6" s="4">
        <v>167064</v>
      </c>
      <c r="G6" s="5">
        <v>0.27800000000000002</v>
      </c>
      <c r="H6" s="4">
        <v>166957</v>
      </c>
      <c r="I6" s="5">
        <v>0.33900000000000002</v>
      </c>
      <c r="J6" s="4">
        <v>95873</v>
      </c>
      <c r="K6" s="5">
        <v>0.65800000000000003</v>
      </c>
      <c r="L6" s="4">
        <v>601942</v>
      </c>
      <c r="M6" s="2">
        <v>593.05999999999995</v>
      </c>
      <c r="N6" s="2">
        <v>2.4900000000000002</v>
      </c>
      <c r="O6" s="2">
        <v>10.8</v>
      </c>
      <c r="P6" s="2">
        <v>12.7</v>
      </c>
      <c r="Q6" s="2">
        <v>24.21</v>
      </c>
    </row>
    <row r="7" spans="1:17" x14ac:dyDescent="0.25">
      <c r="A7" s="2">
        <v>6</v>
      </c>
      <c r="B7" s="2" t="s">
        <v>23</v>
      </c>
      <c r="C7" s="2" t="s">
        <v>17</v>
      </c>
      <c r="D7" s="3">
        <v>44313</v>
      </c>
      <c r="E7" s="2">
        <v>238.79</v>
      </c>
      <c r="F7" s="4">
        <v>526156</v>
      </c>
      <c r="G7" s="5">
        <v>0.26900000000000002</v>
      </c>
      <c r="H7" s="4">
        <v>524907</v>
      </c>
      <c r="I7" s="5">
        <v>0.34</v>
      </c>
      <c r="J7" s="4">
        <v>224306</v>
      </c>
      <c r="K7" s="5">
        <v>0.67</v>
      </c>
      <c r="L7" s="4">
        <v>1952778</v>
      </c>
      <c r="M7" s="7">
        <v>1623.5</v>
      </c>
      <c r="N7" s="2">
        <v>2.77</v>
      </c>
      <c r="O7" s="2">
        <v>14.6</v>
      </c>
      <c r="P7" s="2">
        <v>13.5</v>
      </c>
      <c r="Q7" s="2">
        <v>17.13</v>
      </c>
    </row>
    <row r="8" spans="1:17" x14ac:dyDescent="0.25">
      <c r="A8" s="2">
        <v>7</v>
      </c>
      <c r="B8" s="2" t="s">
        <v>24</v>
      </c>
      <c r="C8" s="2" t="s">
        <v>19</v>
      </c>
      <c r="D8" s="3">
        <v>44313</v>
      </c>
      <c r="E8" s="2">
        <v>92.17</v>
      </c>
      <c r="F8" s="4">
        <v>2209</v>
      </c>
      <c r="G8" s="6">
        <v>0.157</v>
      </c>
      <c r="H8" s="4">
        <v>2209</v>
      </c>
      <c r="I8" s="5">
        <v>0.19600000000000001</v>
      </c>
      <c r="J8" s="4">
        <v>1417</v>
      </c>
      <c r="K8" s="5">
        <v>0.53100000000000003</v>
      </c>
      <c r="L8" s="4">
        <v>14105</v>
      </c>
      <c r="M8" s="2">
        <v>24.86</v>
      </c>
      <c r="N8" s="2">
        <v>2.73</v>
      </c>
      <c r="O8" s="2">
        <v>18.3</v>
      </c>
      <c r="P8" s="2">
        <v>12.2</v>
      </c>
      <c r="Q8" s="2">
        <v>18.93</v>
      </c>
    </row>
    <row r="9" spans="1:17" x14ac:dyDescent="0.25">
      <c r="A9" s="2">
        <v>8</v>
      </c>
      <c r="B9" s="2" t="s">
        <v>27</v>
      </c>
      <c r="C9" s="2" t="s">
        <v>17</v>
      </c>
      <c r="D9" s="3">
        <v>44313</v>
      </c>
      <c r="E9" s="2">
        <v>123.34</v>
      </c>
      <c r="F9" s="4">
        <v>71281</v>
      </c>
      <c r="G9" s="5">
        <v>0.377</v>
      </c>
      <c r="H9" s="4">
        <v>71250</v>
      </c>
      <c r="I9" s="5">
        <v>0.42799999999999999</v>
      </c>
      <c r="J9" s="4">
        <v>53669</v>
      </c>
      <c r="K9" s="5">
        <v>0.69599999999999995</v>
      </c>
      <c r="L9" s="4">
        <v>188910</v>
      </c>
      <c r="M9" s="2">
        <v>277.36</v>
      </c>
      <c r="N9" s="2">
        <v>2.2799999999999998</v>
      </c>
      <c r="O9" s="2">
        <v>11.3</v>
      </c>
      <c r="P9" s="2">
        <v>11.1</v>
      </c>
      <c r="Q9" s="2">
        <v>40.799999999999997</v>
      </c>
    </row>
    <row r="10" spans="1:17" x14ac:dyDescent="0.25">
      <c r="A10" s="2">
        <v>9</v>
      </c>
      <c r="B10" s="2" t="s">
        <v>28</v>
      </c>
      <c r="C10" s="2" t="s">
        <v>17</v>
      </c>
      <c r="D10" s="3">
        <v>44313</v>
      </c>
      <c r="E10" s="2">
        <v>116.93</v>
      </c>
      <c r="F10" s="4">
        <v>45824</v>
      </c>
      <c r="G10" s="5">
        <v>0.30599999999999999</v>
      </c>
      <c r="H10" s="4">
        <v>45813</v>
      </c>
      <c r="I10" s="5">
        <v>0.35899999999999999</v>
      </c>
      <c r="J10" s="4">
        <v>34838</v>
      </c>
      <c r="K10" s="5">
        <v>0.63400000000000001</v>
      </c>
      <c r="L10" s="4">
        <v>149657</v>
      </c>
      <c r="M10" s="2">
        <v>257.18</v>
      </c>
      <c r="N10" s="2">
        <v>2.2400000000000002</v>
      </c>
      <c r="O10" s="2">
        <v>10.4</v>
      </c>
      <c r="P10" s="2">
        <v>16.7</v>
      </c>
      <c r="Q10" s="2">
        <v>36.71</v>
      </c>
    </row>
    <row r="11" spans="1:17" x14ac:dyDescent="0.25">
      <c r="A11" s="2">
        <v>10</v>
      </c>
      <c r="B11" s="2" t="s">
        <v>29</v>
      </c>
      <c r="C11" s="2" t="s">
        <v>17</v>
      </c>
      <c r="D11" s="3">
        <v>44313</v>
      </c>
      <c r="E11" s="2">
        <v>134.55000000000001</v>
      </c>
      <c r="F11" s="4">
        <v>44139</v>
      </c>
      <c r="G11" s="5">
        <v>0.20100000000000001</v>
      </c>
      <c r="H11" s="4">
        <v>44086</v>
      </c>
      <c r="I11" s="5">
        <v>0.26100000000000001</v>
      </c>
      <c r="J11" s="4">
        <v>21157</v>
      </c>
      <c r="K11" s="5">
        <v>0.59</v>
      </c>
      <c r="L11" s="4">
        <v>219252</v>
      </c>
      <c r="M11" s="2">
        <v>362.63</v>
      </c>
      <c r="N11" s="2">
        <v>2.81</v>
      </c>
      <c r="O11" s="2">
        <v>10.4</v>
      </c>
      <c r="P11" s="2">
        <v>10.6</v>
      </c>
      <c r="Q11" s="2">
        <v>16.350000000000001</v>
      </c>
    </row>
    <row r="12" spans="1:17" x14ac:dyDescent="0.25">
      <c r="A12" s="2">
        <v>11</v>
      </c>
      <c r="B12" s="2" t="s">
        <v>30</v>
      </c>
      <c r="C12" s="2" t="s">
        <v>17</v>
      </c>
      <c r="D12" s="3">
        <v>44313</v>
      </c>
      <c r="E12" s="2">
        <v>149.91</v>
      </c>
      <c r="F12" s="4">
        <v>133516</v>
      </c>
      <c r="G12" s="6">
        <v>0.34699999999999998</v>
      </c>
      <c r="H12" s="4">
        <v>133465</v>
      </c>
      <c r="I12" s="5">
        <v>0.41699999999999998</v>
      </c>
      <c r="J12" s="4">
        <v>95425</v>
      </c>
      <c r="K12" s="5">
        <v>0.753</v>
      </c>
      <c r="L12" s="4">
        <v>384902</v>
      </c>
      <c r="M12" s="2">
        <v>192.75</v>
      </c>
      <c r="N12" s="2">
        <v>2.5499999999999998</v>
      </c>
      <c r="O12" s="2">
        <v>16.5</v>
      </c>
      <c r="P12" s="2">
        <v>12.3</v>
      </c>
      <c r="Q12" s="2">
        <v>32.92</v>
      </c>
    </row>
    <row r="13" spans="1:17" x14ac:dyDescent="0.25">
      <c r="A13" s="2">
        <v>12</v>
      </c>
      <c r="B13" s="2" t="s">
        <v>31</v>
      </c>
      <c r="C13" s="2" t="s">
        <v>19</v>
      </c>
      <c r="D13" s="3">
        <v>44313</v>
      </c>
      <c r="E13" s="2">
        <v>72.540000000000006</v>
      </c>
      <c r="F13" s="4">
        <v>13300</v>
      </c>
      <c r="G13" s="5">
        <v>0.186</v>
      </c>
      <c r="H13" s="4">
        <v>13295</v>
      </c>
      <c r="I13" s="5">
        <v>0.23599999999999999</v>
      </c>
      <c r="J13" s="4">
        <v>7900</v>
      </c>
      <c r="K13" s="5">
        <v>0.57199999999999995</v>
      </c>
      <c r="L13" s="4">
        <v>71686</v>
      </c>
      <c r="M13" s="2">
        <v>89.88</v>
      </c>
      <c r="N13" s="2">
        <v>2.57</v>
      </c>
      <c r="O13" s="2">
        <v>12.4</v>
      </c>
      <c r="P13" s="2">
        <v>17.399999999999999</v>
      </c>
      <c r="Q13" s="2">
        <v>19.260000000000002</v>
      </c>
    </row>
    <row r="14" spans="1:17" x14ac:dyDescent="0.25">
      <c r="A14" s="2">
        <v>13</v>
      </c>
      <c r="B14" s="2" t="s">
        <v>32</v>
      </c>
      <c r="C14" s="2" t="s">
        <v>17</v>
      </c>
      <c r="D14" s="3">
        <v>44313</v>
      </c>
      <c r="E14" s="2">
        <v>100</v>
      </c>
      <c r="F14" s="4">
        <v>6689</v>
      </c>
      <c r="G14" s="5">
        <v>0.17599999999999999</v>
      </c>
      <c r="H14" s="4">
        <v>6688</v>
      </c>
      <c r="I14" s="5">
        <v>0.217</v>
      </c>
      <c r="J14" s="4">
        <v>4762</v>
      </c>
      <c r="K14" s="5">
        <v>0.55600000000000005</v>
      </c>
      <c r="L14" s="4">
        <v>38001</v>
      </c>
      <c r="M14" s="2">
        <v>59.68</v>
      </c>
      <c r="N14" s="2">
        <v>2.74</v>
      </c>
      <c r="O14" s="2">
        <v>18.399999999999999</v>
      </c>
      <c r="P14" s="2">
        <v>28.5</v>
      </c>
      <c r="Q14" s="2">
        <v>22.52</v>
      </c>
    </row>
    <row r="15" spans="1:17" x14ac:dyDescent="0.25">
      <c r="A15" s="2">
        <v>14</v>
      </c>
      <c r="B15" s="2" t="s">
        <v>33</v>
      </c>
      <c r="C15" s="2" t="s">
        <v>19</v>
      </c>
      <c r="D15" s="3">
        <v>44313</v>
      </c>
      <c r="E15" s="2">
        <v>71.319999999999993</v>
      </c>
      <c r="F15" s="4">
        <v>2635</v>
      </c>
      <c r="G15" s="5">
        <v>0.157</v>
      </c>
      <c r="H15" s="4">
        <v>2634</v>
      </c>
      <c r="I15" s="5">
        <v>0.192</v>
      </c>
      <c r="J15" s="4">
        <v>1917</v>
      </c>
      <c r="K15" s="5">
        <v>0.48099999999999998</v>
      </c>
      <c r="L15" s="4">
        <v>16826</v>
      </c>
      <c r="M15" s="2">
        <v>23.86</v>
      </c>
      <c r="N15" s="2">
        <v>2.2799999999999998</v>
      </c>
      <c r="O15" s="2">
        <v>17.2</v>
      </c>
      <c r="P15" s="2">
        <v>23.1</v>
      </c>
      <c r="Q15" s="2">
        <v>23.68</v>
      </c>
    </row>
    <row r="16" spans="1:17" x14ac:dyDescent="0.25">
      <c r="A16" s="2">
        <v>15</v>
      </c>
      <c r="B16" s="2" t="s">
        <v>34</v>
      </c>
      <c r="C16" s="2" t="s">
        <v>17</v>
      </c>
      <c r="D16" s="3">
        <v>44313</v>
      </c>
      <c r="E16" s="2">
        <v>120.7</v>
      </c>
      <c r="F16" s="4">
        <v>254245</v>
      </c>
      <c r="G16" s="5">
        <v>0.26500000000000001</v>
      </c>
      <c r="H16" s="4">
        <v>253781</v>
      </c>
      <c r="I16" s="5">
        <v>0.34200000000000003</v>
      </c>
      <c r="J16" s="4">
        <v>99685</v>
      </c>
      <c r="K16" s="5">
        <v>0.71899999999999997</v>
      </c>
      <c r="L16" s="4">
        <v>957755</v>
      </c>
      <c r="M16" s="7">
        <v>1255.8599999999999</v>
      </c>
      <c r="N16" s="2">
        <v>2.5499999999999998</v>
      </c>
      <c r="O16" s="2">
        <v>12</v>
      </c>
      <c r="P16" s="2">
        <v>15.5</v>
      </c>
      <c r="Q16" s="2">
        <v>14.47</v>
      </c>
    </row>
    <row r="17" spans="1:17" x14ac:dyDescent="0.25">
      <c r="A17" s="2">
        <v>16</v>
      </c>
      <c r="B17" s="2" t="s">
        <v>35</v>
      </c>
      <c r="C17" s="2" t="s">
        <v>19</v>
      </c>
      <c r="D17" s="3">
        <v>44313</v>
      </c>
      <c r="E17" s="2">
        <v>85.76</v>
      </c>
      <c r="F17" s="4">
        <v>77328</v>
      </c>
      <c r="G17" s="5">
        <v>0.24299999999999999</v>
      </c>
      <c r="H17" s="4">
        <v>77285</v>
      </c>
      <c r="I17" s="5">
        <v>0.307</v>
      </c>
      <c r="J17" s="4">
        <v>36845</v>
      </c>
      <c r="K17" s="5">
        <v>0.67500000000000004</v>
      </c>
      <c r="L17" s="4">
        <v>318316</v>
      </c>
      <c r="M17" s="2">
        <v>484.52</v>
      </c>
      <c r="N17" s="2">
        <v>2.4700000000000002</v>
      </c>
      <c r="O17" s="2">
        <v>10.199999999999999</v>
      </c>
      <c r="P17" s="2">
        <v>13.9</v>
      </c>
      <c r="Q17" s="2">
        <v>17.14</v>
      </c>
    </row>
    <row r="18" spans="1:17" x14ac:dyDescent="0.25">
      <c r="A18" s="2">
        <v>17</v>
      </c>
      <c r="B18" s="2" t="s">
        <v>36</v>
      </c>
      <c r="C18" s="2" t="s">
        <v>19</v>
      </c>
      <c r="D18" s="3">
        <v>44313</v>
      </c>
      <c r="E18" s="2">
        <v>92.98</v>
      </c>
      <c r="F18" s="4">
        <v>36676</v>
      </c>
      <c r="G18" s="5">
        <v>0.31900000000000001</v>
      </c>
      <c r="H18" s="4">
        <v>36661</v>
      </c>
      <c r="I18" s="5">
        <v>0.38200000000000001</v>
      </c>
      <c r="J18" s="4">
        <v>25384</v>
      </c>
      <c r="K18" s="5">
        <v>0.70699999999999996</v>
      </c>
      <c r="L18" s="4">
        <v>115081</v>
      </c>
      <c r="M18" s="2">
        <v>237.21</v>
      </c>
      <c r="N18" s="2">
        <v>2.62</v>
      </c>
      <c r="O18" s="2">
        <v>12.7</v>
      </c>
      <c r="P18" s="2">
        <v>11.9</v>
      </c>
      <c r="Q18" s="2">
        <v>31.19</v>
      </c>
    </row>
    <row r="19" spans="1:17" x14ac:dyDescent="0.25">
      <c r="A19" s="2">
        <v>18</v>
      </c>
      <c r="B19" s="2" t="s">
        <v>37</v>
      </c>
      <c r="C19" s="2" t="s">
        <v>25</v>
      </c>
      <c r="D19" s="3">
        <v>44313</v>
      </c>
      <c r="E19" s="2" t="s">
        <v>26</v>
      </c>
      <c r="F19" s="4">
        <v>3101</v>
      </c>
      <c r="G19" s="5">
        <v>0.25600000000000001</v>
      </c>
      <c r="H19" s="4">
        <v>3101</v>
      </c>
      <c r="I19" s="5">
        <v>0.30199999999999999</v>
      </c>
      <c r="J19" s="4">
        <v>2083</v>
      </c>
      <c r="K19" s="5">
        <v>0.71199999999999997</v>
      </c>
      <c r="L19" s="4">
        <v>12125</v>
      </c>
      <c r="M19" s="2">
        <v>22.24</v>
      </c>
      <c r="N19" s="2">
        <v>2.35</v>
      </c>
      <c r="O19" s="2">
        <v>18.3</v>
      </c>
      <c r="P19" s="2">
        <v>20.7</v>
      </c>
      <c r="Q19" s="2">
        <v>24.13</v>
      </c>
    </row>
    <row r="20" spans="1:17" x14ac:dyDescent="0.25">
      <c r="A20" s="2">
        <v>19</v>
      </c>
      <c r="B20" s="2" t="s">
        <v>38</v>
      </c>
      <c r="C20" s="2" t="s">
        <v>19</v>
      </c>
      <c r="D20" s="3">
        <v>44313</v>
      </c>
      <c r="E20" s="2">
        <v>54.75</v>
      </c>
      <c r="F20" s="4">
        <v>12493</v>
      </c>
      <c r="G20" s="5">
        <v>0.27400000000000002</v>
      </c>
      <c r="H20" s="4">
        <v>12485</v>
      </c>
      <c r="I20" s="5">
        <v>0.34899999999999998</v>
      </c>
      <c r="J20" s="4">
        <v>6146</v>
      </c>
      <c r="K20" s="5">
        <v>0.72</v>
      </c>
      <c r="L20" s="4">
        <v>45660</v>
      </c>
      <c r="M20" s="2">
        <v>88.44</v>
      </c>
      <c r="N20" s="2">
        <v>2.4700000000000002</v>
      </c>
      <c r="O20" s="2">
        <v>14.9</v>
      </c>
      <c r="P20" s="2">
        <v>24.6</v>
      </c>
      <c r="Q20" s="2">
        <v>18.7</v>
      </c>
    </row>
    <row r="21" spans="1:17" x14ac:dyDescent="0.25">
      <c r="A21" s="2">
        <v>20</v>
      </c>
      <c r="B21" s="2" t="s">
        <v>39</v>
      </c>
      <c r="C21" s="2" t="s">
        <v>17</v>
      </c>
      <c r="D21" s="3">
        <v>44313</v>
      </c>
      <c r="E21" s="2">
        <v>129.16</v>
      </c>
      <c r="F21" s="4">
        <v>3031</v>
      </c>
      <c r="G21" s="5">
        <v>0.16300000000000001</v>
      </c>
      <c r="H21" s="4">
        <v>3029</v>
      </c>
      <c r="I21" s="6">
        <v>0.20300000000000001</v>
      </c>
      <c r="J21" s="4">
        <v>1904</v>
      </c>
      <c r="K21" s="5">
        <v>0.496</v>
      </c>
      <c r="L21" s="4">
        <v>18582</v>
      </c>
      <c r="M21" s="2">
        <v>53.14</v>
      </c>
      <c r="N21" s="2">
        <v>2.5</v>
      </c>
      <c r="O21" s="2">
        <v>18.100000000000001</v>
      </c>
      <c r="P21" s="2">
        <v>17.899999999999999</v>
      </c>
      <c r="Q21" s="2">
        <v>20.65</v>
      </c>
    </row>
    <row r="22" spans="1:17" x14ac:dyDescent="0.25">
      <c r="A22" s="2">
        <v>21</v>
      </c>
      <c r="B22" s="2" t="s">
        <v>40</v>
      </c>
      <c r="C22" s="2" t="s">
        <v>19</v>
      </c>
      <c r="D22" s="3">
        <v>44313</v>
      </c>
      <c r="E22" s="2" t="s">
        <v>26</v>
      </c>
      <c r="F22" s="4">
        <v>1988</v>
      </c>
      <c r="G22" s="6">
        <v>0.14399999999999999</v>
      </c>
      <c r="H22" s="4">
        <v>1988</v>
      </c>
      <c r="I22" s="5">
        <v>0.16800000000000001</v>
      </c>
      <c r="J22" s="4">
        <v>1369</v>
      </c>
      <c r="K22" s="5">
        <v>0.36</v>
      </c>
      <c r="L22" s="4">
        <v>13811</v>
      </c>
      <c r="M22" s="2">
        <v>17.12</v>
      </c>
      <c r="N22" s="2">
        <v>2.71</v>
      </c>
      <c r="O22" s="2">
        <v>19.899999999999999</v>
      </c>
      <c r="P22" s="2">
        <v>17</v>
      </c>
      <c r="Q22" s="2">
        <v>27.57</v>
      </c>
    </row>
    <row r="23" spans="1:17" x14ac:dyDescent="0.25">
      <c r="A23" s="2">
        <v>22</v>
      </c>
      <c r="B23" s="2" t="s">
        <v>41</v>
      </c>
      <c r="C23" s="2" t="s">
        <v>17</v>
      </c>
      <c r="D23" s="3">
        <v>44313</v>
      </c>
      <c r="E23" s="2">
        <v>139.31</v>
      </c>
      <c r="F23" s="4">
        <v>3364</v>
      </c>
      <c r="G23" s="6">
        <v>0.247</v>
      </c>
      <c r="H23" s="4">
        <v>3364</v>
      </c>
      <c r="I23" s="5">
        <v>0.30199999999999999</v>
      </c>
      <c r="J23" s="4">
        <v>2339</v>
      </c>
      <c r="K23" s="5">
        <v>0.64700000000000002</v>
      </c>
      <c r="L23" s="4">
        <v>13639</v>
      </c>
      <c r="M23" s="2">
        <v>24.64</v>
      </c>
      <c r="N23" s="2">
        <v>2.5499999999999998</v>
      </c>
      <c r="O23" s="2">
        <v>11.4</v>
      </c>
      <c r="P23" s="2">
        <v>13.9</v>
      </c>
      <c r="Q23" s="2">
        <v>26.5</v>
      </c>
    </row>
    <row r="24" spans="1:17" x14ac:dyDescent="0.25">
      <c r="A24" s="2">
        <v>23</v>
      </c>
      <c r="B24" s="2" t="s">
        <v>42</v>
      </c>
      <c r="C24" s="2" t="s">
        <v>19</v>
      </c>
      <c r="D24" s="3">
        <v>44313</v>
      </c>
      <c r="E24" s="2">
        <v>76.239999999999995</v>
      </c>
      <c r="F24" s="4">
        <v>2359</v>
      </c>
      <c r="G24" s="5">
        <v>0.16400000000000001</v>
      </c>
      <c r="H24" s="4">
        <v>2358</v>
      </c>
      <c r="I24" s="5">
        <v>0.20200000000000001</v>
      </c>
      <c r="J24" s="4">
        <v>1519</v>
      </c>
      <c r="K24" s="5">
        <v>0.56999999999999995</v>
      </c>
      <c r="L24" s="4">
        <v>14428</v>
      </c>
      <c r="M24" s="2">
        <v>28.08</v>
      </c>
      <c r="N24" s="2">
        <v>2.44</v>
      </c>
      <c r="O24" s="2">
        <v>14.3</v>
      </c>
      <c r="P24" s="2">
        <v>29.5</v>
      </c>
      <c r="Q24" s="2">
        <v>18.46</v>
      </c>
    </row>
    <row r="25" spans="1:17" x14ac:dyDescent="0.25">
      <c r="A25" s="2">
        <v>24</v>
      </c>
      <c r="B25" s="2" t="s">
        <v>43</v>
      </c>
      <c r="C25" s="2" t="s">
        <v>17</v>
      </c>
      <c r="D25" s="3">
        <v>44313</v>
      </c>
      <c r="E25" s="2">
        <v>207.89</v>
      </c>
      <c r="F25" s="4">
        <v>3620</v>
      </c>
      <c r="G25" s="5">
        <v>0.13400000000000001</v>
      </c>
      <c r="H25" s="4">
        <v>3619</v>
      </c>
      <c r="I25" s="5">
        <v>0.18</v>
      </c>
      <c r="J25" s="4">
        <v>2458</v>
      </c>
      <c r="K25" s="5">
        <v>0.52400000000000002</v>
      </c>
      <c r="L25" s="4">
        <v>26937</v>
      </c>
      <c r="M25" s="2">
        <v>42.25</v>
      </c>
      <c r="N25" s="2">
        <v>3.22</v>
      </c>
      <c r="O25" s="2">
        <v>12.2</v>
      </c>
      <c r="P25" s="2">
        <v>26.7</v>
      </c>
      <c r="Q25" s="2">
        <v>17.43</v>
      </c>
    </row>
    <row r="26" spans="1:17" x14ac:dyDescent="0.25">
      <c r="A26" s="2">
        <v>25</v>
      </c>
      <c r="B26" s="2" t="s">
        <v>44</v>
      </c>
      <c r="C26" s="2" t="s">
        <v>17</v>
      </c>
      <c r="D26" s="3">
        <v>44313</v>
      </c>
      <c r="E26" s="2">
        <v>157.06</v>
      </c>
      <c r="F26" s="4">
        <v>7030</v>
      </c>
      <c r="G26" s="5">
        <v>0.16700000000000001</v>
      </c>
      <c r="H26" s="4">
        <v>7027</v>
      </c>
      <c r="I26" s="5">
        <v>0.22800000000000001</v>
      </c>
      <c r="J26" s="4">
        <v>3698</v>
      </c>
      <c r="K26" s="5">
        <v>0.64</v>
      </c>
      <c r="L26" s="4">
        <v>42022</v>
      </c>
      <c r="M26" s="2">
        <v>36.340000000000003</v>
      </c>
      <c r="N26" s="2">
        <v>3.17</v>
      </c>
      <c r="O26" s="2">
        <v>26.2</v>
      </c>
      <c r="P26" s="2">
        <v>26.8</v>
      </c>
      <c r="Q26" s="2">
        <v>13.75</v>
      </c>
    </row>
    <row r="27" spans="1:17" x14ac:dyDescent="0.25">
      <c r="A27" s="2">
        <v>26</v>
      </c>
      <c r="B27" s="2" t="s">
        <v>45</v>
      </c>
      <c r="C27" s="2" t="s">
        <v>17</v>
      </c>
      <c r="D27" s="3">
        <v>44313</v>
      </c>
      <c r="E27" s="2">
        <v>159.34</v>
      </c>
      <c r="F27" s="4">
        <v>49742</v>
      </c>
      <c r="G27" s="5">
        <v>0.25700000000000001</v>
      </c>
      <c r="H27" s="4">
        <v>49717</v>
      </c>
      <c r="I27" s="5">
        <v>0.314</v>
      </c>
      <c r="J27" s="4">
        <v>32794</v>
      </c>
      <c r="K27" s="5">
        <v>0.61499999999999999</v>
      </c>
      <c r="L27" s="4">
        <v>193920</v>
      </c>
      <c r="M27" s="2">
        <v>410.01</v>
      </c>
      <c r="N27" s="2">
        <v>2.46</v>
      </c>
      <c r="O27" s="2">
        <v>12.6</v>
      </c>
      <c r="P27" s="2">
        <v>14.3</v>
      </c>
      <c r="Q27" s="2">
        <v>27.51</v>
      </c>
    </row>
    <row r="28" spans="1:17" x14ac:dyDescent="0.25">
      <c r="A28" s="2">
        <v>27</v>
      </c>
      <c r="B28" s="2" t="s">
        <v>46</v>
      </c>
      <c r="C28" s="2" t="s">
        <v>17</v>
      </c>
      <c r="D28" s="3">
        <v>44313</v>
      </c>
      <c r="E28" s="2">
        <v>208.06</v>
      </c>
      <c r="F28" s="4">
        <v>26696</v>
      </c>
      <c r="G28" s="5">
        <v>0.251</v>
      </c>
      <c r="H28" s="4">
        <v>26693</v>
      </c>
      <c r="I28" s="5">
        <v>0.30199999999999999</v>
      </c>
      <c r="J28" s="4">
        <v>20557</v>
      </c>
      <c r="K28" s="5">
        <v>0.53700000000000003</v>
      </c>
      <c r="L28" s="4">
        <v>106221</v>
      </c>
      <c r="M28" s="2">
        <v>104.38</v>
      </c>
      <c r="N28" s="2">
        <v>2.44</v>
      </c>
      <c r="O28" s="2">
        <v>12.7</v>
      </c>
      <c r="P28" s="2">
        <v>19.2</v>
      </c>
      <c r="Q28" s="2">
        <v>36.049999999999997</v>
      </c>
    </row>
    <row r="29" spans="1:17" x14ac:dyDescent="0.25">
      <c r="A29" s="2">
        <v>28</v>
      </c>
      <c r="B29" s="2" t="s">
        <v>47</v>
      </c>
      <c r="C29" s="2" t="s">
        <v>17</v>
      </c>
      <c r="D29" s="3">
        <v>44313</v>
      </c>
      <c r="E29" s="2">
        <v>212.37</v>
      </c>
      <c r="F29" s="4">
        <v>360734</v>
      </c>
      <c r="G29" s="5">
        <v>0.245</v>
      </c>
      <c r="H29" s="4">
        <v>360184</v>
      </c>
      <c r="I29" s="5">
        <v>0.314</v>
      </c>
      <c r="J29" s="4">
        <v>133157</v>
      </c>
      <c r="K29" s="5">
        <v>0.622</v>
      </c>
      <c r="L29" s="4">
        <v>1471968</v>
      </c>
      <c r="M29" s="7">
        <v>1440.39</v>
      </c>
      <c r="N29" s="2">
        <v>2.63</v>
      </c>
      <c r="O29" s="2">
        <v>13</v>
      </c>
      <c r="P29" s="2">
        <v>15.3</v>
      </c>
      <c r="Q29" s="2">
        <v>14.54</v>
      </c>
    </row>
    <row r="30" spans="1:17" x14ac:dyDescent="0.25">
      <c r="A30" s="2">
        <v>29</v>
      </c>
      <c r="B30" s="2" t="s">
        <v>48</v>
      </c>
      <c r="C30" s="2" t="s">
        <v>25</v>
      </c>
      <c r="D30" s="3">
        <v>44313</v>
      </c>
      <c r="E30" s="2" t="s">
        <v>26</v>
      </c>
      <c r="F30" s="4">
        <v>2759</v>
      </c>
      <c r="G30" s="5">
        <v>0.14099999999999999</v>
      </c>
      <c r="H30" s="4">
        <v>2757</v>
      </c>
      <c r="I30" s="5">
        <v>0.17599999999999999</v>
      </c>
      <c r="J30" s="4">
        <v>1759</v>
      </c>
      <c r="K30" s="5">
        <v>0.44900000000000001</v>
      </c>
      <c r="L30" s="4">
        <v>19617</v>
      </c>
      <c r="M30" s="2">
        <v>40.97</v>
      </c>
      <c r="N30" s="2">
        <v>2.5099999999999998</v>
      </c>
      <c r="O30" s="2">
        <v>18.899999999999999</v>
      </c>
      <c r="P30" s="2">
        <v>25.6</v>
      </c>
      <c r="Q30" s="2">
        <v>19.989999999999998</v>
      </c>
    </row>
    <row r="31" spans="1:17" x14ac:dyDescent="0.25">
      <c r="A31" s="2">
        <v>30</v>
      </c>
      <c r="B31" s="2" t="s">
        <v>49</v>
      </c>
      <c r="C31" s="2" t="s">
        <v>19</v>
      </c>
      <c r="D31" s="3">
        <v>44313</v>
      </c>
      <c r="E31" s="2">
        <v>87.54</v>
      </c>
      <c r="F31" s="4">
        <v>52103</v>
      </c>
      <c r="G31" s="5">
        <v>0.32600000000000001</v>
      </c>
      <c r="H31" s="4">
        <v>52086</v>
      </c>
      <c r="I31" s="5">
        <v>0.38600000000000001</v>
      </c>
      <c r="J31" s="4">
        <v>37237</v>
      </c>
      <c r="K31" s="5">
        <v>0.68799999999999994</v>
      </c>
      <c r="L31" s="4">
        <v>159923</v>
      </c>
      <c r="M31" s="2">
        <v>318.08</v>
      </c>
      <c r="N31" s="2">
        <v>2.6</v>
      </c>
      <c r="O31" s="2">
        <v>12.1</v>
      </c>
      <c r="P31" s="2">
        <v>12.2</v>
      </c>
      <c r="Q31" s="2">
        <v>33.85</v>
      </c>
    </row>
    <row r="32" spans="1:17" x14ac:dyDescent="0.25">
      <c r="A32" s="2">
        <v>31</v>
      </c>
      <c r="B32" s="2" t="s">
        <v>50</v>
      </c>
      <c r="C32" s="2" t="s">
        <v>19</v>
      </c>
      <c r="D32" s="3">
        <v>44313</v>
      </c>
      <c r="E32" s="2">
        <v>51.71</v>
      </c>
      <c r="F32" s="4">
        <v>9237</v>
      </c>
      <c r="G32" s="5">
        <v>0.19900000000000001</v>
      </c>
      <c r="H32" s="4">
        <v>9236</v>
      </c>
      <c r="I32" s="5">
        <v>0.245</v>
      </c>
      <c r="J32" s="4">
        <v>5324</v>
      </c>
      <c r="K32" s="5">
        <v>0.55600000000000005</v>
      </c>
      <c r="L32" s="4">
        <v>46414</v>
      </c>
      <c r="M32" s="2">
        <v>50.55</v>
      </c>
      <c r="N32" s="2">
        <v>2.4</v>
      </c>
      <c r="O32" s="2">
        <v>11.3</v>
      </c>
      <c r="P32" s="2">
        <v>20.6</v>
      </c>
      <c r="Q32" s="2">
        <v>20.62</v>
      </c>
    </row>
    <row r="33" spans="1:17" x14ac:dyDescent="0.25">
      <c r="A33" s="2">
        <v>32</v>
      </c>
      <c r="B33" s="2" t="s">
        <v>51</v>
      </c>
      <c r="C33" s="2" t="s">
        <v>17</v>
      </c>
      <c r="D33" s="3">
        <v>44313</v>
      </c>
      <c r="E33" s="2">
        <v>126.35</v>
      </c>
      <c r="F33" s="4">
        <v>4811</v>
      </c>
      <c r="G33" s="5">
        <v>0.33800000000000002</v>
      </c>
      <c r="H33" s="4">
        <v>4810</v>
      </c>
      <c r="I33" s="5">
        <v>0.40500000000000003</v>
      </c>
      <c r="J33" s="4">
        <v>3227</v>
      </c>
      <c r="K33" s="5">
        <v>0.91900000000000004</v>
      </c>
      <c r="L33" s="4">
        <v>14246</v>
      </c>
      <c r="M33" s="2">
        <v>23.82</v>
      </c>
      <c r="N33" s="2">
        <v>2.04</v>
      </c>
      <c r="O33" s="2">
        <v>6.4</v>
      </c>
      <c r="P33" s="2">
        <v>14.1</v>
      </c>
      <c r="Q33" s="2">
        <v>24.65</v>
      </c>
    </row>
    <row r="34" spans="1:17" x14ac:dyDescent="0.25">
      <c r="A34" s="2">
        <v>33</v>
      </c>
      <c r="B34" s="2" t="s">
        <v>52</v>
      </c>
      <c r="C34" s="2" t="s">
        <v>25</v>
      </c>
      <c r="D34" s="3">
        <v>44313</v>
      </c>
      <c r="E34" s="2" t="s">
        <v>26</v>
      </c>
      <c r="F34" s="4">
        <v>1389</v>
      </c>
      <c r="G34" s="6">
        <v>0.16500000000000001</v>
      </c>
      <c r="H34" s="4">
        <v>1389</v>
      </c>
      <c r="I34" s="6">
        <v>0.20599999999999999</v>
      </c>
      <c r="J34" s="4">
        <v>1071</v>
      </c>
      <c r="K34" s="5">
        <v>0.73599999999999999</v>
      </c>
      <c r="L34" s="4">
        <v>8422</v>
      </c>
      <c r="M34" s="2">
        <v>15.5</v>
      </c>
      <c r="N34" s="2">
        <v>3.43</v>
      </c>
      <c r="O34" s="2">
        <v>17.600000000000001</v>
      </c>
      <c r="P34" s="2">
        <v>20.100000000000001</v>
      </c>
      <c r="Q34" s="2">
        <v>17.28</v>
      </c>
    </row>
    <row r="35" spans="1:17" x14ac:dyDescent="0.25">
      <c r="A35" s="2">
        <v>34</v>
      </c>
      <c r="B35" s="2" t="s">
        <v>53</v>
      </c>
      <c r="C35" s="2" t="s">
        <v>17</v>
      </c>
      <c r="D35" s="3">
        <v>44313</v>
      </c>
      <c r="E35" s="2">
        <v>156.63</v>
      </c>
      <c r="F35" s="4">
        <v>120782</v>
      </c>
      <c r="G35" s="5">
        <v>0.32900000000000001</v>
      </c>
      <c r="H35" s="4">
        <v>120673</v>
      </c>
      <c r="I35" s="5">
        <v>0.40500000000000003</v>
      </c>
      <c r="J35" s="4">
        <v>77948</v>
      </c>
      <c r="K35" s="5">
        <v>0.78400000000000003</v>
      </c>
      <c r="L35" s="4">
        <v>367118</v>
      </c>
      <c r="M35" s="2">
        <v>386.13</v>
      </c>
      <c r="N35" s="2">
        <v>2.5499999999999998</v>
      </c>
      <c r="O35" s="2">
        <v>11.6</v>
      </c>
      <c r="P35" s="2">
        <v>12.5</v>
      </c>
      <c r="Q35" s="2">
        <v>27.07</v>
      </c>
    </row>
    <row r="36" spans="1:17" x14ac:dyDescent="0.25">
      <c r="A36" s="2">
        <v>35</v>
      </c>
      <c r="B36" s="2" t="s">
        <v>54</v>
      </c>
      <c r="C36" s="2" t="s">
        <v>17</v>
      </c>
      <c r="D36" s="3">
        <v>44313</v>
      </c>
      <c r="E36" s="2">
        <v>211.79</v>
      </c>
      <c r="F36" s="4">
        <v>219203</v>
      </c>
      <c r="G36" s="5">
        <v>0.28399999999999997</v>
      </c>
      <c r="H36" s="4">
        <v>219140</v>
      </c>
      <c r="I36" s="5">
        <v>0.34399999999999997</v>
      </c>
      <c r="J36" s="4">
        <v>152881</v>
      </c>
      <c r="K36" s="5">
        <v>0.68100000000000005</v>
      </c>
      <c r="L36" s="4">
        <v>770577</v>
      </c>
      <c r="M36" s="2">
        <v>986.08</v>
      </c>
      <c r="N36" s="2">
        <v>2.61</v>
      </c>
      <c r="O36" s="2">
        <v>14.3</v>
      </c>
      <c r="P36" s="2">
        <v>14</v>
      </c>
      <c r="Q36" s="2">
        <v>29.15</v>
      </c>
    </row>
    <row r="37" spans="1:17" x14ac:dyDescent="0.25">
      <c r="A37" s="2">
        <v>36</v>
      </c>
      <c r="B37" s="2" t="s">
        <v>55</v>
      </c>
      <c r="C37" s="2" t="s">
        <v>19</v>
      </c>
      <c r="D37" s="3">
        <v>44313</v>
      </c>
      <c r="E37" s="2">
        <v>98.78</v>
      </c>
      <c r="F37" s="4">
        <v>79033</v>
      </c>
      <c r="G37" s="5">
        <v>0.26900000000000002</v>
      </c>
      <c r="H37" s="4">
        <v>78874</v>
      </c>
      <c r="I37" s="5">
        <v>0.33</v>
      </c>
      <c r="J37" s="4">
        <v>32042</v>
      </c>
      <c r="K37" s="5">
        <v>0.78600000000000003</v>
      </c>
      <c r="L37" s="4">
        <v>293582</v>
      </c>
      <c r="M37" s="2">
        <v>440.23</v>
      </c>
      <c r="N37" s="2">
        <v>2.4300000000000002</v>
      </c>
      <c r="O37" s="2">
        <v>8.1999999999999993</v>
      </c>
      <c r="P37" s="2">
        <v>20.399999999999999</v>
      </c>
      <c r="Q37" s="2">
        <v>13.89</v>
      </c>
    </row>
    <row r="38" spans="1:17" x14ac:dyDescent="0.25">
      <c r="A38" s="2">
        <v>37</v>
      </c>
      <c r="B38" s="2" t="s">
        <v>56</v>
      </c>
      <c r="C38" s="2" t="s">
        <v>17</v>
      </c>
      <c r="D38" s="3">
        <v>44313</v>
      </c>
      <c r="E38" s="2">
        <v>192.76</v>
      </c>
      <c r="F38" s="4">
        <v>8438</v>
      </c>
      <c r="G38" s="5">
        <v>0.20300000000000001</v>
      </c>
      <c r="H38" s="4">
        <v>8431</v>
      </c>
      <c r="I38" s="6">
        <v>0.252</v>
      </c>
      <c r="J38" s="4">
        <v>5640</v>
      </c>
      <c r="K38" s="5">
        <v>0.54</v>
      </c>
      <c r="L38" s="4">
        <v>41503</v>
      </c>
      <c r="M38" s="2">
        <v>37.119999999999997</v>
      </c>
      <c r="N38" s="2">
        <v>2.41</v>
      </c>
      <c r="O38" s="2">
        <v>15.5</v>
      </c>
      <c r="P38" s="2">
        <v>20.7</v>
      </c>
      <c r="Q38" s="2">
        <v>25.15</v>
      </c>
    </row>
    <row r="39" spans="1:17" x14ac:dyDescent="0.25">
      <c r="A39" s="2">
        <v>38</v>
      </c>
      <c r="B39" s="2" t="s">
        <v>57</v>
      </c>
      <c r="C39" s="2" t="s">
        <v>25</v>
      </c>
      <c r="D39" s="3">
        <v>44313</v>
      </c>
      <c r="E39" s="2" t="s">
        <v>26</v>
      </c>
      <c r="F39" s="4">
        <v>1214</v>
      </c>
      <c r="G39" s="6">
        <v>0.14499999999999999</v>
      </c>
      <c r="H39" s="4">
        <v>1214</v>
      </c>
      <c r="I39" s="6">
        <v>0.17599999999999999</v>
      </c>
      <c r="J39" s="2">
        <v>715</v>
      </c>
      <c r="K39" s="5">
        <v>0.56899999999999995</v>
      </c>
      <c r="L39" s="4">
        <v>8354</v>
      </c>
      <c r="M39" s="2">
        <v>10</v>
      </c>
      <c r="N39" s="2">
        <v>2.9</v>
      </c>
      <c r="O39" s="2">
        <v>18.5</v>
      </c>
      <c r="P39" s="2">
        <v>13</v>
      </c>
      <c r="Q39" s="2">
        <v>15.04</v>
      </c>
    </row>
    <row r="40" spans="1:17" x14ac:dyDescent="0.25">
      <c r="A40" s="2">
        <v>39</v>
      </c>
      <c r="B40" s="2" t="s">
        <v>58</v>
      </c>
      <c r="C40" s="2" t="s">
        <v>25</v>
      </c>
      <c r="D40" s="3">
        <v>44313</v>
      </c>
      <c r="E40" s="2" t="s">
        <v>26</v>
      </c>
      <c r="F40" s="4">
        <v>4008</v>
      </c>
      <c r="G40" s="5">
        <v>0.217</v>
      </c>
      <c r="H40" s="4">
        <v>4007</v>
      </c>
      <c r="I40" s="5">
        <v>0.26600000000000001</v>
      </c>
      <c r="J40" s="4">
        <v>2459</v>
      </c>
      <c r="K40" s="5">
        <v>0.63</v>
      </c>
      <c r="L40" s="4">
        <v>18493</v>
      </c>
      <c r="M40" s="2">
        <v>26.55</v>
      </c>
      <c r="N40" s="2">
        <v>2.4500000000000002</v>
      </c>
      <c r="O40" s="2">
        <v>13.1</v>
      </c>
      <c r="P40" s="2">
        <v>28.2</v>
      </c>
      <c r="Q40" s="2">
        <v>21.1</v>
      </c>
    </row>
    <row r="41" spans="1:17" x14ac:dyDescent="0.25">
      <c r="A41" s="2">
        <v>40</v>
      </c>
      <c r="B41" s="2" t="s">
        <v>59</v>
      </c>
      <c r="C41" s="2" t="s">
        <v>17</v>
      </c>
      <c r="D41" s="3">
        <v>44313</v>
      </c>
      <c r="E41" s="2">
        <v>187.97</v>
      </c>
      <c r="F41" s="4">
        <v>114073</v>
      </c>
      <c r="G41" s="5">
        <v>0.28299999999999997</v>
      </c>
      <c r="H41" s="4">
        <v>114023</v>
      </c>
      <c r="I41" s="5">
        <v>0.34499999999999997</v>
      </c>
      <c r="J41" s="4">
        <v>75008</v>
      </c>
      <c r="K41" s="5">
        <v>0.66300000000000003</v>
      </c>
      <c r="L41" s="4">
        <v>403253</v>
      </c>
      <c r="M41" s="2">
        <v>542.28</v>
      </c>
      <c r="N41" s="2">
        <v>2.57</v>
      </c>
      <c r="O41" s="2">
        <v>12.7</v>
      </c>
      <c r="P41" s="2">
        <v>12.5</v>
      </c>
      <c r="Q41" s="2">
        <v>28.06</v>
      </c>
    </row>
    <row r="42" spans="1:17" x14ac:dyDescent="0.25">
      <c r="A42" s="2">
        <v>41</v>
      </c>
      <c r="B42" s="2" t="s">
        <v>60</v>
      </c>
      <c r="C42" s="2" t="s">
        <v>17</v>
      </c>
      <c r="D42" s="3">
        <v>44313</v>
      </c>
      <c r="E42" s="2">
        <v>118.17</v>
      </c>
      <c r="F42" s="4">
        <v>99739</v>
      </c>
      <c r="G42" s="5">
        <v>0.27300000000000002</v>
      </c>
      <c r="H42" s="4">
        <v>99691</v>
      </c>
      <c r="I42" s="5">
        <v>0.33400000000000002</v>
      </c>
      <c r="J42" s="4">
        <v>67606</v>
      </c>
      <c r="K42" s="5">
        <v>0.63400000000000001</v>
      </c>
      <c r="L42" s="4">
        <v>365579</v>
      </c>
      <c r="M42" s="2">
        <v>230.15</v>
      </c>
      <c r="N42" s="2">
        <v>2.48</v>
      </c>
      <c r="O42" s="2">
        <v>12.3</v>
      </c>
      <c r="P42" s="2">
        <v>16.600000000000001</v>
      </c>
      <c r="Q42" s="2">
        <v>29.18</v>
      </c>
    </row>
    <row r="43" spans="1:17" x14ac:dyDescent="0.25">
      <c r="A43" s="2">
        <v>42</v>
      </c>
      <c r="B43" s="2" t="s">
        <v>61</v>
      </c>
      <c r="C43" s="2" t="s">
        <v>17</v>
      </c>
      <c r="D43" s="3">
        <v>44313</v>
      </c>
      <c r="E43" s="2">
        <v>101.86</v>
      </c>
      <c r="F43" s="4">
        <v>53229</v>
      </c>
      <c r="G43" s="5">
        <v>0.33100000000000002</v>
      </c>
      <c r="H43" s="4">
        <v>53206</v>
      </c>
      <c r="I43" s="5">
        <v>0.39400000000000002</v>
      </c>
      <c r="J43" s="4">
        <v>37387</v>
      </c>
      <c r="K43" s="6">
        <v>0.73699999999999999</v>
      </c>
      <c r="L43" s="4">
        <v>161000</v>
      </c>
      <c r="M43" s="2">
        <v>296.05</v>
      </c>
      <c r="N43" s="2">
        <v>2.41</v>
      </c>
      <c r="O43" s="2">
        <v>11.5</v>
      </c>
      <c r="P43" s="2">
        <v>10.5</v>
      </c>
      <c r="Q43" s="2">
        <v>31.53</v>
      </c>
    </row>
    <row r="44" spans="1:17" x14ac:dyDescent="0.25">
      <c r="A44" s="2">
        <v>43</v>
      </c>
      <c r="B44" s="2" t="s">
        <v>62</v>
      </c>
      <c r="C44" s="2" t="s">
        <v>17</v>
      </c>
      <c r="D44" s="3">
        <v>44313</v>
      </c>
      <c r="E44" s="2">
        <v>294.14999999999998</v>
      </c>
      <c r="F44" s="4">
        <v>773745</v>
      </c>
      <c r="G44" s="5">
        <v>0.28499999999999998</v>
      </c>
      <c r="H44" s="4">
        <v>771814</v>
      </c>
      <c r="I44" s="5">
        <v>0.35599999999999998</v>
      </c>
      <c r="J44" s="4">
        <v>307258</v>
      </c>
      <c r="K44" s="5">
        <v>0.67900000000000005</v>
      </c>
      <c r="L44" s="4">
        <v>2716940</v>
      </c>
      <c r="M44" s="7">
        <v>1430.09</v>
      </c>
      <c r="N44" s="2">
        <v>3.07</v>
      </c>
      <c r="O44" s="2">
        <v>18.100000000000001</v>
      </c>
      <c r="P44" s="2">
        <v>18</v>
      </c>
      <c r="Q44" s="2">
        <v>16.66</v>
      </c>
    </row>
    <row r="45" spans="1:17" x14ac:dyDescent="0.25">
      <c r="A45" s="2">
        <v>44</v>
      </c>
      <c r="B45" s="2" t="s">
        <v>63</v>
      </c>
      <c r="C45" s="2" t="s">
        <v>17</v>
      </c>
      <c r="D45" s="3">
        <v>44313</v>
      </c>
      <c r="E45" s="2">
        <v>126.64</v>
      </c>
      <c r="F45" s="4">
        <v>25083</v>
      </c>
      <c r="G45" s="5">
        <v>0.33800000000000002</v>
      </c>
      <c r="H45" s="4">
        <v>25072</v>
      </c>
      <c r="I45" s="6">
        <v>0.39800000000000002</v>
      </c>
      <c r="J45" s="4">
        <v>14122</v>
      </c>
      <c r="K45" s="6">
        <v>0.80100000000000005</v>
      </c>
      <c r="L45" s="4">
        <v>74228</v>
      </c>
      <c r="M45" s="2">
        <v>75.510000000000005</v>
      </c>
      <c r="N45" s="2">
        <v>2.39</v>
      </c>
      <c r="O45" s="2">
        <v>17.8</v>
      </c>
      <c r="P45" s="2">
        <v>11.8</v>
      </c>
      <c r="Q45" s="2">
        <v>23.75</v>
      </c>
    </row>
    <row r="46" spans="1:17" x14ac:dyDescent="0.25">
      <c r="A46" s="2">
        <v>45</v>
      </c>
      <c r="B46" s="2" t="s">
        <v>64</v>
      </c>
      <c r="C46" s="2" t="s">
        <v>17</v>
      </c>
      <c r="D46" s="3">
        <v>44313</v>
      </c>
      <c r="E46" s="2">
        <v>108.32</v>
      </c>
      <c r="F46" s="4">
        <v>27797</v>
      </c>
      <c r="G46" s="5">
        <v>0.314</v>
      </c>
      <c r="H46" s="4">
        <v>27777</v>
      </c>
      <c r="I46" s="5">
        <v>0.39</v>
      </c>
      <c r="J46" s="4">
        <v>15865</v>
      </c>
      <c r="K46" s="5">
        <v>0.78400000000000003</v>
      </c>
      <c r="L46" s="4">
        <v>88625</v>
      </c>
      <c r="M46" s="2">
        <v>136.62</v>
      </c>
      <c r="N46" s="2">
        <v>2.5499999999999998</v>
      </c>
      <c r="O46" s="2">
        <v>11</v>
      </c>
      <c r="P46" s="2">
        <v>10.199999999999999</v>
      </c>
      <c r="Q46" s="2">
        <v>22.83</v>
      </c>
    </row>
    <row r="47" spans="1:17" x14ac:dyDescent="0.25">
      <c r="A47" s="2">
        <v>46</v>
      </c>
      <c r="B47" s="2" t="s">
        <v>65</v>
      </c>
      <c r="C47" s="2" t="s">
        <v>19</v>
      </c>
      <c r="D47" s="3">
        <v>44313</v>
      </c>
      <c r="E47" s="2">
        <v>69.75</v>
      </c>
      <c r="F47" s="4">
        <v>49017</v>
      </c>
      <c r="G47" s="6">
        <v>0.23300000000000001</v>
      </c>
      <c r="H47" s="4">
        <v>48986</v>
      </c>
      <c r="I47" s="5">
        <v>0.29899999999999999</v>
      </c>
      <c r="J47" s="4">
        <v>24807</v>
      </c>
      <c r="K47" s="5">
        <v>0.72199999999999998</v>
      </c>
      <c r="L47" s="4">
        <v>210738</v>
      </c>
      <c r="M47" s="2">
        <v>226.55</v>
      </c>
      <c r="N47" s="2">
        <v>2.52</v>
      </c>
      <c r="O47" s="2">
        <v>12.2</v>
      </c>
      <c r="P47" s="2">
        <v>11.5</v>
      </c>
      <c r="Q47" s="2">
        <v>16.309999999999999</v>
      </c>
    </row>
    <row r="48" spans="1:17" x14ac:dyDescent="0.25">
      <c r="A48" s="2">
        <v>47</v>
      </c>
      <c r="B48" s="2" t="s">
        <v>66</v>
      </c>
      <c r="C48" s="2" t="s">
        <v>19</v>
      </c>
      <c r="D48" s="3">
        <v>44313</v>
      </c>
      <c r="E48" s="2">
        <v>94.86</v>
      </c>
      <c r="F48" s="4">
        <v>7953</v>
      </c>
      <c r="G48" s="5">
        <v>0.189</v>
      </c>
      <c r="H48" s="4">
        <v>7951</v>
      </c>
      <c r="I48" s="5">
        <v>0.23899999999999999</v>
      </c>
      <c r="J48" s="4">
        <v>5586</v>
      </c>
      <c r="K48" s="6">
        <v>0.65900000000000003</v>
      </c>
      <c r="L48" s="4">
        <v>42168</v>
      </c>
      <c r="M48" s="2">
        <v>54.82</v>
      </c>
      <c r="N48" s="2">
        <v>2.73</v>
      </c>
      <c r="O48" s="2">
        <v>18.100000000000001</v>
      </c>
      <c r="P48" s="2">
        <v>22.7</v>
      </c>
      <c r="Q48" s="2">
        <v>20.12</v>
      </c>
    </row>
    <row r="49" spans="1:17" x14ac:dyDescent="0.25">
      <c r="A49" s="2">
        <v>48</v>
      </c>
      <c r="B49" s="2" t="s">
        <v>67</v>
      </c>
      <c r="C49" s="2" t="s">
        <v>17</v>
      </c>
      <c r="D49" s="3">
        <v>44313</v>
      </c>
      <c r="E49" s="2">
        <v>201.94</v>
      </c>
      <c r="F49" s="4">
        <v>350972</v>
      </c>
      <c r="G49" s="5">
        <v>0.252</v>
      </c>
      <c r="H49" s="4">
        <v>350144</v>
      </c>
      <c r="I49" s="5">
        <v>0.32200000000000001</v>
      </c>
      <c r="J49" s="4">
        <v>120395</v>
      </c>
      <c r="K49" s="5">
        <v>0.70199999999999996</v>
      </c>
      <c r="L49" s="4">
        <v>1393452</v>
      </c>
      <c r="M49" s="7">
        <v>1545.08</v>
      </c>
      <c r="N49" s="2">
        <v>2.81</v>
      </c>
      <c r="O49" s="2">
        <v>14.5</v>
      </c>
      <c r="P49" s="2">
        <v>16.100000000000001</v>
      </c>
      <c r="Q49" s="2">
        <v>12.31</v>
      </c>
    </row>
    <row r="50" spans="1:17" x14ac:dyDescent="0.25">
      <c r="A50" s="2">
        <v>49</v>
      </c>
      <c r="B50" s="2" t="s">
        <v>68</v>
      </c>
      <c r="C50" s="2" t="s">
        <v>17</v>
      </c>
      <c r="D50" s="3">
        <v>44313</v>
      </c>
      <c r="E50" s="2">
        <v>282.89999999999998</v>
      </c>
      <c r="F50" s="4">
        <v>84930</v>
      </c>
      <c r="G50" s="5">
        <v>0.22600000000000001</v>
      </c>
      <c r="H50" s="4">
        <v>84819</v>
      </c>
      <c r="I50" s="5">
        <v>0.29699999999999999</v>
      </c>
      <c r="J50" s="4">
        <v>36037</v>
      </c>
      <c r="K50" s="5">
        <v>0.71</v>
      </c>
      <c r="L50" s="4">
        <v>375751</v>
      </c>
      <c r="M50" s="2">
        <v>283.04000000000002</v>
      </c>
      <c r="N50" s="2">
        <v>3.4</v>
      </c>
      <c r="O50" s="2">
        <v>15.8</v>
      </c>
      <c r="P50" s="2">
        <v>16.3</v>
      </c>
      <c r="Q50" s="2">
        <v>13.52</v>
      </c>
    </row>
    <row r="51" spans="1:17" x14ac:dyDescent="0.25">
      <c r="A51" s="2">
        <v>50</v>
      </c>
      <c r="B51" s="2" t="s">
        <v>69</v>
      </c>
      <c r="C51" s="2" t="s">
        <v>17</v>
      </c>
      <c r="D51" s="3">
        <v>44313</v>
      </c>
      <c r="E51" s="2">
        <v>173.11</v>
      </c>
      <c r="F51" s="4">
        <v>435895</v>
      </c>
      <c r="G51" s="5">
        <v>0.29099999999999998</v>
      </c>
      <c r="H51" s="4">
        <v>435318</v>
      </c>
      <c r="I51" s="5">
        <v>0.35899999999999999</v>
      </c>
      <c r="J51" s="4">
        <v>252875</v>
      </c>
      <c r="K51" s="5">
        <v>0.69399999999999995</v>
      </c>
      <c r="L51" s="4">
        <v>1496770</v>
      </c>
      <c r="M51" s="2">
        <v>761.99</v>
      </c>
      <c r="N51" s="2">
        <v>2.6</v>
      </c>
      <c r="O51" s="2">
        <v>13.6</v>
      </c>
      <c r="P51" s="2">
        <v>12.8</v>
      </c>
      <c r="Q51" s="2">
        <v>24.36</v>
      </c>
    </row>
    <row r="52" spans="1:17" x14ac:dyDescent="0.25">
      <c r="A52" s="2">
        <v>51</v>
      </c>
      <c r="B52" s="2" t="s">
        <v>70</v>
      </c>
      <c r="C52" s="2" t="s">
        <v>17</v>
      </c>
      <c r="D52" s="3">
        <v>44313</v>
      </c>
      <c r="E52" s="2">
        <v>189.37</v>
      </c>
      <c r="F52" s="4">
        <v>138707</v>
      </c>
      <c r="G52" s="5">
        <v>0.25</v>
      </c>
      <c r="H52" s="4">
        <v>138583</v>
      </c>
      <c r="I52" s="5">
        <v>0.314</v>
      </c>
      <c r="J52" s="4">
        <v>78584</v>
      </c>
      <c r="K52" s="5">
        <v>0.626</v>
      </c>
      <c r="L52" s="4">
        <v>553947</v>
      </c>
      <c r="M52" s="2">
        <v>741.98</v>
      </c>
      <c r="N52" s="2">
        <v>2.52</v>
      </c>
      <c r="O52" s="2">
        <v>11.8</v>
      </c>
      <c r="P52" s="2">
        <v>13.5</v>
      </c>
      <c r="Q52" s="2">
        <v>22.65</v>
      </c>
    </row>
    <row r="53" spans="1:17" x14ac:dyDescent="0.25">
      <c r="A53" s="2">
        <v>52</v>
      </c>
      <c r="B53" s="2" t="s">
        <v>71</v>
      </c>
      <c r="C53" s="2" t="s">
        <v>17</v>
      </c>
      <c r="D53" s="3">
        <v>44313</v>
      </c>
      <c r="E53" s="2">
        <v>135.08000000000001</v>
      </c>
      <c r="F53" s="4">
        <v>310073</v>
      </c>
      <c r="G53" s="5">
        <v>0.318</v>
      </c>
      <c r="H53" s="4">
        <v>309800</v>
      </c>
      <c r="I53" s="5">
        <v>0.378</v>
      </c>
      <c r="J53" s="4">
        <v>164970</v>
      </c>
      <c r="K53" s="5">
        <v>0.66600000000000004</v>
      </c>
      <c r="L53" s="4">
        <v>974996</v>
      </c>
      <c r="M53" s="7">
        <v>3561.28</v>
      </c>
      <c r="N53" s="2">
        <v>2.31</v>
      </c>
      <c r="O53" s="2">
        <v>11.5</v>
      </c>
      <c r="P53" s="2">
        <v>13</v>
      </c>
      <c r="Q53" s="2">
        <v>25.4</v>
      </c>
    </row>
    <row r="54" spans="1:17" x14ac:dyDescent="0.25">
      <c r="A54" s="2">
        <v>53</v>
      </c>
      <c r="B54" s="2" t="s">
        <v>72</v>
      </c>
      <c r="C54" s="2" t="s">
        <v>17</v>
      </c>
      <c r="D54" s="3">
        <v>44313</v>
      </c>
      <c r="E54" s="2">
        <v>225.72</v>
      </c>
      <c r="F54" s="4">
        <v>155153</v>
      </c>
      <c r="G54" s="5">
        <v>0.214</v>
      </c>
      <c r="H54" s="4">
        <v>155031</v>
      </c>
      <c r="I54" s="5">
        <v>0.27400000000000002</v>
      </c>
      <c r="J54" s="4">
        <v>89722</v>
      </c>
      <c r="K54" s="5">
        <v>0.60599999999999998</v>
      </c>
      <c r="L54" s="4">
        <v>724777</v>
      </c>
      <c r="M54" s="2">
        <v>403.21</v>
      </c>
      <c r="N54" s="2">
        <v>2.84</v>
      </c>
      <c r="O54" s="2">
        <v>13.2</v>
      </c>
      <c r="P54" s="2">
        <v>16.600000000000001</v>
      </c>
      <c r="Q54" s="2">
        <v>20.440000000000001</v>
      </c>
    </row>
    <row r="55" spans="1:17" x14ac:dyDescent="0.25">
      <c r="A55" s="2">
        <v>54</v>
      </c>
      <c r="B55" s="2" t="s">
        <v>73</v>
      </c>
      <c r="C55" s="2" t="s">
        <v>17</v>
      </c>
      <c r="D55" s="3">
        <v>44313</v>
      </c>
      <c r="E55" s="2">
        <v>136.87</v>
      </c>
      <c r="F55" s="4">
        <v>12748</v>
      </c>
      <c r="G55" s="5">
        <v>0.17100000000000001</v>
      </c>
      <c r="H55" s="4">
        <v>12745</v>
      </c>
      <c r="I55" s="5">
        <v>0.217</v>
      </c>
      <c r="J55" s="4">
        <v>8244</v>
      </c>
      <c r="K55" s="5">
        <v>0.46600000000000003</v>
      </c>
      <c r="L55" s="4">
        <v>74521</v>
      </c>
      <c r="M55" s="2">
        <v>102.38</v>
      </c>
      <c r="N55" s="2">
        <v>2.52</v>
      </c>
      <c r="O55" s="2">
        <v>16</v>
      </c>
      <c r="P55" s="2">
        <v>24.8</v>
      </c>
      <c r="Q55" s="2">
        <v>23.72</v>
      </c>
    </row>
    <row r="56" spans="1:17" x14ac:dyDescent="0.25">
      <c r="A56" s="2">
        <v>55</v>
      </c>
      <c r="B56" s="2" t="s">
        <v>74</v>
      </c>
      <c r="C56" s="2" t="s">
        <v>19</v>
      </c>
      <c r="D56" s="3">
        <v>44313</v>
      </c>
      <c r="E56" s="2">
        <v>52.09</v>
      </c>
      <c r="F56" s="4">
        <v>38473</v>
      </c>
      <c r="G56" s="5">
        <v>0.20899999999999999</v>
      </c>
      <c r="H56" s="4">
        <v>38434</v>
      </c>
      <c r="I56" s="5">
        <v>0.26700000000000002</v>
      </c>
      <c r="J56" s="4">
        <v>20463</v>
      </c>
      <c r="K56" s="5">
        <v>0.67900000000000005</v>
      </c>
      <c r="L56" s="4">
        <v>184313</v>
      </c>
      <c r="M56" s="2">
        <v>182.06</v>
      </c>
      <c r="N56" s="2">
        <v>2.68</v>
      </c>
      <c r="O56" s="2">
        <v>10</v>
      </c>
      <c r="P56" s="2">
        <v>9.8000000000000007</v>
      </c>
      <c r="Q56" s="2">
        <v>16.34</v>
      </c>
    </row>
    <row r="57" spans="1:17" x14ac:dyDescent="0.25">
      <c r="A57" s="2">
        <v>56</v>
      </c>
      <c r="B57" s="2" t="s">
        <v>75</v>
      </c>
      <c r="C57" s="2" t="s">
        <v>17</v>
      </c>
      <c r="D57" s="3">
        <v>44313</v>
      </c>
      <c r="E57" s="2">
        <v>152.38999999999999</v>
      </c>
      <c r="F57" s="4">
        <v>163130</v>
      </c>
      <c r="G57" s="5">
        <v>0.376</v>
      </c>
      <c r="H57" s="4">
        <v>163034</v>
      </c>
      <c r="I57" s="5">
        <v>0.437</v>
      </c>
      <c r="J57" s="4">
        <v>117435</v>
      </c>
      <c r="K57" s="5">
        <v>0.72499999999999998</v>
      </c>
      <c r="L57" s="4">
        <v>433742</v>
      </c>
      <c r="M57" s="2">
        <v>780.13</v>
      </c>
      <c r="N57" s="2">
        <v>2.25</v>
      </c>
      <c r="O57" s="2">
        <v>11.4</v>
      </c>
      <c r="P57" s="2">
        <v>9.6999999999999993</v>
      </c>
      <c r="Q57" s="2">
        <v>37.340000000000003</v>
      </c>
    </row>
    <row r="58" spans="1:17" x14ac:dyDescent="0.25">
      <c r="A58" s="2">
        <v>57</v>
      </c>
      <c r="B58" s="2" t="s">
        <v>76</v>
      </c>
      <c r="C58" s="2" t="s">
        <v>17</v>
      </c>
      <c r="D58" s="3">
        <v>44313</v>
      </c>
      <c r="E58" s="2">
        <v>190.54</v>
      </c>
      <c r="F58" s="4">
        <v>115020</v>
      </c>
      <c r="G58" s="5">
        <v>0.24399999999999999</v>
      </c>
      <c r="H58" s="4">
        <v>114797</v>
      </c>
      <c r="I58" s="5">
        <v>0.307</v>
      </c>
      <c r="J58" s="4">
        <v>49196</v>
      </c>
      <c r="K58" s="5">
        <v>0.65200000000000002</v>
      </c>
      <c r="L58" s="4">
        <v>471826</v>
      </c>
      <c r="M58" s="7">
        <v>1525.34</v>
      </c>
      <c r="N58" s="2">
        <v>2.7</v>
      </c>
      <c r="O58" s="2">
        <v>10.4</v>
      </c>
      <c r="P58" s="2">
        <v>11.4</v>
      </c>
      <c r="Q58" s="2">
        <v>15.98</v>
      </c>
    </row>
    <row r="59" spans="1:17" x14ac:dyDescent="0.25">
      <c r="A59" s="2">
        <v>58</v>
      </c>
      <c r="B59" s="2" t="s">
        <v>77</v>
      </c>
      <c r="C59" s="2" t="s">
        <v>17</v>
      </c>
      <c r="D59" s="3">
        <v>44313</v>
      </c>
      <c r="E59" s="2">
        <v>109.57</v>
      </c>
      <c r="F59" s="4">
        <v>94327</v>
      </c>
      <c r="G59" s="5">
        <v>0.35599999999999998</v>
      </c>
      <c r="H59" s="4">
        <v>94115</v>
      </c>
      <c r="I59" s="5">
        <v>0.45400000000000001</v>
      </c>
      <c r="J59" s="4">
        <v>46167</v>
      </c>
      <c r="K59" s="5">
        <v>0.84499999999999997</v>
      </c>
      <c r="L59" s="4">
        <v>264672</v>
      </c>
      <c r="M59" s="2">
        <v>440.71</v>
      </c>
      <c r="N59" s="2">
        <v>2.7</v>
      </c>
      <c r="O59" s="2">
        <v>8.4</v>
      </c>
      <c r="P59" s="2">
        <v>8.4</v>
      </c>
      <c r="Q59" s="2">
        <v>20.65</v>
      </c>
    </row>
    <row r="60" spans="1:17" x14ac:dyDescent="0.25">
      <c r="A60" s="2">
        <v>59</v>
      </c>
      <c r="B60" s="2" t="s">
        <v>78</v>
      </c>
      <c r="C60" s="2" t="s">
        <v>17</v>
      </c>
      <c r="D60" s="3">
        <v>44313</v>
      </c>
      <c r="E60" s="2">
        <v>155.65</v>
      </c>
      <c r="F60" s="4">
        <v>77689</v>
      </c>
      <c r="G60" s="5">
        <v>0.23699999999999999</v>
      </c>
      <c r="H60" s="4">
        <v>77659</v>
      </c>
      <c r="I60" s="5">
        <v>0.29399999999999998</v>
      </c>
      <c r="J60" s="4">
        <v>49809</v>
      </c>
      <c r="K60" s="5">
        <v>0.61499999999999999</v>
      </c>
      <c r="L60" s="4">
        <v>328297</v>
      </c>
      <c r="M60" s="2">
        <v>574.29999999999995</v>
      </c>
      <c r="N60" s="2">
        <v>2.68</v>
      </c>
      <c r="O60" s="2">
        <v>14</v>
      </c>
      <c r="P60" s="2">
        <v>15</v>
      </c>
      <c r="Q60" s="2">
        <v>24.65</v>
      </c>
    </row>
    <row r="61" spans="1:17" x14ac:dyDescent="0.25">
      <c r="A61" s="2">
        <v>60</v>
      </c>
      <c r="B61" s="2" t="s">
        <v>79</v>
      </c>
      <c r="C61" s="2" t="s">
        <v>19</v>
      </c>
      <c r="D61" s="3">
        <v>44313</v>
      </c>
      <c r="E61" s="2">
        <v>84.58</v>
      </c>
      <c r="F61" s="4">
        <v>74426</v>
      </c>
      <c r="G61" s="5">
        <v>0.56200000000000006</v>
      </c>
      <c r="H61" s="4">
        <v>74415</v>
      </c>
      <c r="I61" s="5">
        <v>0.60499999999999998</v>
      </c>
      <c r="J61" s="4">
        <v>62889</v>
      </c>
      <c r="K61" s="5">
        <v>0.81599999999999995</v>
      </c>
      <c r="L61" s="4">
        <v>132420</v>
      </c>
      <c r="M61" s="2">
        <v>237.68</v>
      </c>
      <c r="N61" s="2">
        <v>2.04</v>
      </c>
      <c r="O61" s="2">
        <v>6.2</v>
      </c>
      <c r="P61" s="2">
        <v>8.8000000000000007</v>
      </c>
      <c r="Q61" s="2">
        <v>58.17</v>
      </c>
    </row>
    <row r="62" spans="1:17" x14ac:dyDescent="0.25">
      <c r="A62" s="2">
        <v>61</v>
      </c>
      <c r="B62" s="2" t="s">
        <v>80</v>
      </c>
      <c r="C62" s="2" t="s">
        <v>25</v>
      </c>
      <c r="D62" s="3">
        <v>44313</v>
      </c>
      <c r="E62" s="2">
        <v>45.03</v>
      </c>
      <c r="F62" s="4">
        <v>8011</v>
      </c>
      <c r="G62" s="5">
        <v>0.18</v>
      </c>
      <c r="H62" s="4">
        <v>8009</v>
      </c>
      <c r="I62" s="5">
        <v>0.22800000000000001</v>
      </c>
      <c r="J62" s="4">
        <v>5304</v>
      </c>
      <c r="K62" s="5">
        <v>0.55000000000000004</v>
      </c>
      <c r="L62" s="4">
        <v>44417</v>
      </c>
      <c r="M62" s="2">
        <v>64.510000000000005</v>
      </c>
      <c r="N62" s="2">
        <v>2.81</v>
      </c>
      <c r="O62" s="2">
        <v>13.9</v>
      </c>
      <c r="P62" s="2">
        <v>17.8</v>
      </c>
      <c r="Q62" s="2">
        <v>21.73</v>
      </c>
    </row>
    <row r="63" spans="1:17" x14ac:dyDescent="0.25">
      <c r="A63" s="2">
        <v>62</v>
      </c>
      <c r="B63" s="2" t="s">
        <v>81</v>
      </c>
      <c r="C63" s="2" t="s">
        <v>25</v>
      </c>
      <c r="D63" s="3">
        <v>44313</v>
      </c>
      <c r="E63" s="2" t="s">
        <v>26</v>
      </c>
      <c r="F63" s="4">
        <v>3615</v>
      </c>
      <c r="G63" s="5">
        <v>0.16800000000000001</v>
      </c>
      <c r="H63" s="4">
        <v>3611</v>
      </c>
      <c r="I63" s="5">
        <v>0.20899999999999999</v>
      </c>
      <c r="J63" s="4">
        <v>2355</v>
      </c>
      <c r="K63" s="5">
        <v>0.52</v>
      </c>
      <c r="L63" s="4">
        <v>21569</v>
      </c>
      <c r="M63" s="2">
        <v>20.67</v>
      </c>
      <c r="N63" s="2">
        <v>2.4700000000000002</v>
      </c>
      <c r="O63" s="2">
        <v>10.9</v>
      </c>
      <c r="P63" s="2">
        <v>19.8</v>
      </c>
      <c r="Q63" s="2">
        <v>20.98</v>
      </c>
    </row>
    <row r="64" spans="1:17" x14ac:dyDescent="0.25">
      <c r="A64" s="2">
        <v>63</v>
      </c>
      <c r="B64" s="2" t="s">
        <v>82</v>
      </c>
      <c r="C64" s="2" t="s">
        <v>19</v>
      </c>
      <c r="D64" s="3">
        <v>44313</v>
      </c>
      <c r="E64" s="2">
        <v>85.32</v>
      </c>
      <c r="F64" s="4">
        <v>1833</v>
      </c>
      <c r="G64" s="5">
        <v>0.12</v>
      </c>
      <c r="H64" s="4">
        <v>1833</v>
      </c>
      <c r="I64" s="6">
        <v>0.15</v>
      </c>
      <c r="J64" s="4">
        <v>1127</v>
      </c>
      <c r="K64" s="6">
        <v>0.48599999999999999</v>
      </c>
      <c r="L64" s="4">
        <v>15237</v>
      </c>
      <c r="M64" s="2">
        <v>62.56</v>
      </c>
      <c r="N64" s="2">
        <v>2.5</v>
      </c>
      <c r="O64" s="2">
        <v>12.4</v>
      </c>
      <c r="P64" s="2">
        <v>22</v>
      </c>
      <c r="Q64" s="2">
        <v>15.21</v>
      </c>
    </row>
    <row r="65" spans="1:17" x14ac:dyDescent="0.25">
      <c r="A65" s="2">
        <v>64</v>
      </c>
      <c r="B65" s="2" t="s">
        <v>83</v>
      </c>
      <c r="C65" s="2" t="s">
        <v>17</v>
      </c>
      <c r="D65" s="3">
        <v>44313</v>
      </c>
      <c r="E65" s="2">
        <v>173.33</v>
      </c>
      <c r="F65" s="4">
        <v>146503</v>
      </c>
      <c r="G65" s="5">
        <v>0.26500000000000001</v>
      </c>
      <c r="H65" s="4">
        <v>146441</v>
      </c>
      <c r="I65" s="5">
        <v>0.32100000000000001</v>
      </c>
      <c r="J65" s="4">
        <v>92991</v>
      </c>
      <c r="K65" s="5">
        <v>0.67500000000000004</v>
      </c>
      <c r="L65" s="4">
        <v>553284</v>
      </c>
      <c r="M65" s="2">
        <v>502.42</v>
      </c>
      <c r="N65" s="2">
        <v>2.4300000000000002</v>
      </c>
      <c r="O65" s="2">
        <v>12.5</v>
      </c>
      <c r="P65" s="2">
        <v>15.2</v>
      </c>
      <c r="Q65" s="2">
        <v>24.91</v>
      </c>
    </row>
    <row r="66" spans="1:17" x14ac:dyDescent="0.25">
      <c r="A66" s="2">
        <v>65</v>
      </c>
      <c r="B66" s="2" t="s">
        <v>84</v>
      </c>
      <c r="C66" s="2" t="s">
        <v>17</v>
      </c>
      <c r="D66" s="3">
        <v>44313</v>
      </c>
      <c r="E66" s="2">
        <v>112.63</v>
      </c>
      <c r="F66" s="4">
        <v>7233</v>
      </c>
      <c r="G66" s="5">
        <v>0.214</v>
      </c>
      <c r="H66" s="4">
        <v>7228</v>
      </c>
      <c r="I66" s="5">
        <v>0.27</v>
      </c>
      <c r="J66" s="4">
        <v>3959</v>
      </c>
      <c r="K66" s="5">
        <v>0.73799999999999999</v>
      </c>
      <c r="L66" s="4">
        <v>33739</v>
      </c>
      <c r="M66" s="2">
        <v>55.64</v>
      </c>
      <c r="N66" s="2">
        <v>2.56</v>
      </c>
      <c r="O66" s="2">
        <v>9</v>
      </c>
      <c r="P66" s="2">
        <v>11.5</v>
      </c>
      <c r="Q66" s="2">
        <v>15.9</v>
      </c>
    </row>
    <row r="67" spans="1:17" x14ac:dyDescent="0.25">
      <c r="A67" s="2">
        <v>66</v>
      </c>
      <c r="B67" s="2" t="s">
        <v>85</v>
      </c>
      <c r="C67" s="2" t="s">
        <v>17</v>
      </c>
      <c r="D67" s="3">
        <v>44313</v>
      </c>
      <c r="E67" s="2">
        <v>121.51</v>
      </c>
      <c r="F67" s="4">
        <v>15726</v>
      </c>
      <c r="G67" s="5">
        <v>0.21199999999999999</v>
      </c>
      <c r="H67" s="4">
        <v>15720</v>
      </c>
      <c r="I67" s="5">
        <v>0.26600000000000001</v>
      </c>
      <c r="J67" s="4">
        <v>9165</v>
      </c>
      <c r="K67" s="5">
        <v>0.61199999999999999</v>
      </c>
      <c r="L67" s="4">
        <v>74071</v>
      </c>
      <c r="M67" s="2">
        <v>71.38</v>
      </c>
      <c r="N67" s="2">
        <v>2.42</v>
      </c>
      <c r="O67" s="2">
        <v>13.5</v>
      </c>
      <c r="P67" s="2">
        <v>14.7</v>
      </c>
      <c r="Q67" s="2">
        <v>20.22</v>
      </c>
    </row>
    <row r="68" spans="1:17" x14ac:dyDescent="0.25">
      <c r="A68" s="1">
        <v>67</v>
      </c>
      <c r="B68" s="2" t="s">
        <v>86</v>
      </c>
      <c r="C68" s="2" t="s">
        <v>25</v>
      </c>
      <c r="D68" s="3">
        <v>44313</v>
      </c>
      <c r="E68" s="2" t="s">
        <v>26</v>
      </c>
      <c r="F68" s="4">
        <v>3471</v>
      </c>
      <c r="G68" s="5">
        <v>0.13600000000000001</v>
      </c>
      <c r="H68" s="4">
        <v>3468</v>
      </c>
      <c r="I68" s="5">
        <v>0.17</v>
      </c>
      <c r="J68" s="4">
        <v>2077</v>
      </c>
      <c r="K68" s="5">
        <v>0.47399999999999998</v>
      </c>
      <c r="L68" s="4">
        <v>25473</v>
      </c>
      <c r="M68" s="2">
        <v>43.57</v>
      </c>
      <c r="N68" s="2">
        <v>2.57</v>
      </c>
      <c r="O68" s="2">
        <v>12.8</v>
      </c>
      <c r="P68" s="2">
        <v>22.4</v>
      </c>
      <c r="Q68" s="2">
        <v>17.2</v>
      </c>
    </row>
    <row r="69" spans="1:17" ht="36" x14ac:dyDescent="0.25">
      <c r="B69" s="8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16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45" baseType="lpstr">
      <vt:lpstr>Summary</vt:lpstr>
      <vt:lpstr>Controls</vt:lpstr>
      <vt:lpstr>Counties</vt:lpstr>
      <vt:lpstr>4-15</vt:lpstr>
      <vt:lpstr>4-16</vt:lpstr>
      <vt:lpstr>4-17</vt:lpstr>
      <vt:lpstr>4-18</vt:lpstr>
      <vt:lpstr>4-19</vt:lpstr>
      <vt:lpstr>4-20</vt:lpstr>
      <vt:lpstr>4-21</vt:lpstr>
      <vt:lpstr>4-22</vt:lpstr>
      <vt:lpstr>4-23</vt:lpstr>
      <vt:lpstr>4-24</vt:lpstr>
      <vt:lpstr>4-25</vt:lpstr>
      <vt:lpstr>4-26</vt:lpstr>
      <vt:lpstr>4-27</vt:lpstr>
      <vt:lpstr>HIT_Histogram</vt:lpstr>
      <vt:lpstr>Vacc_vs_Poverty</vt:lpstr>
      <vt:lpstr>Vacc_vs_Uninsured_Rate</vt:lpstr>
      <vt:lpstr>Vacc_vs_PopDensity</vt:lpstr>
      <vt:lpstr>Vacc_vs_Population</vt:lpstr>
      <vt:lpstr>All_Shots</vt:lpstr>
      <vt:lpstr>CountyID</vt:lpstr>
      <vt:lpstr>CountySummary</vt:lpstr>
      <vt:lpstr>Current_Vaccinated</vt:lpstr>
      <vt:lpstr>Days_to_HIT</vt:lpstr>
      <vt:lpstr>HIT_Percent</vt:lpstr>
      <vt:lpstr>HIT_Target</vt:lpstr>
      <vt:lpstr>MaxDays</vt:lpstr>
      <vt:lpstr>Population</vt:lpstr>
      <vt:lpstr>Counties!SummTable</vt:lpstr>
      <vt:lpstr>SummTable</vt:lpstr>
      <vt:lpstr>Table415</vt:lpstr>
      <vt:lpstr>Table416</vt:lpstr>
      <vt:lpstr>Table417</vt:lpstr>
      <vt:lpstr>Table418</vt:lpstr>
      <vt:lpstr>Table419</vt:lpstr>
      <vt:lpstr>Table420</vt:lpstr>
      <vt:lpstr>Table421</vt:lpstr>
      <vt:lpstr>Table422</vt:lpstr>
      <vt:lpstr>Table423</vt:lpstr>
      <vt:lpstr>Table424</vt:lpstr>
      <vt:lpstr>Table425</vt:lpstr>
      <vt:lpstr>Table426</vt:lpstr>
      <vt:lpstr>Table427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</dc:creator>
  <cp:lastModifiedBy>FAB</cp:lastModifiedBy>
  <dcterms:created xsi:type="dcterms:W3CDTF">2021-04-23T11:35:49Z</dcterms:created>
  <dcterms:modified xsi:type="dcterms:W3CDTF">2021-04-29T19:20:27Z</dcterms:modified>
</cp:coreProperties>
</file>