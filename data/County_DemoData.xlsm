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orsair_Barillas\Documents\FAB\Quant\UMBootcamp\UM_Homework\Project_2\Data\"/>
    </mc:Choice>
  </mc:AlternateContent>
  <xr:revisionPtr revIDLastSave="0" documentId="8_{10A908BB-22D5-4765-9D74-3C4FD77D48A4}" xr6:coauthVersionLast="46" xr6:coauthVersionMax="46" xr10:uidLastSave="{00000000-0000-0000-0000-000000000000}"/>
  <bookViews>
    <workbookView xWindow="-28920" yWindow="-120" windowWidth="29040" windowHeight="15840" xr2:uid="{CDC4ED3A-8E14-4E08-98B9-D38285A9150F}"/>
  </bookViews>
  <sheets>
    <sheet name="Counties" sheetId="1" r:id="rId1"/>
  </sheets>
  <externalReferences>
    <externalReference r:id="rId2"/>
  </externalReferences>
  <definedNames>
    <definedName name="CountyID">[1]Summary!$A$1</definedName>
    <definedName name="HIT_Percent">[1]Summary!$D$3</definedName>
    <definedName name="HIT_Target">[1]Summary!$H$1</definedName>
    <definedName name="MaxDays">[1]Summary!$H$3</definedName>
    <definedName name="Population">[1]Summary!$D$2</definedName>
    <definedName name="SummTable" localSheetId="0">Counties!$A$1:$H$68</definedName>
    <definedName name="SummTable">[1]Controls!$A$1:$H$68</definedName>
    <definedName name="Table415">'[1]4-15'!$A$1:$Q$68</definedName>
    <definedName name="Table416">'[1]4-16'!$A$1:$Q$68</definedName>
    <definedName name="Table417">'[1]4-17'!$A$1:$Q$68</definedName>
    <definedName name="Table418">'[1]4-18'!$A$1:$Q$68</definedName>
    <definedName name="Table419">'[1]4-19'!$A$1:$Q$68</definedName>
    <definedName name="Table420">'[1]4-20'!$A$1:$Q$68</definedName>
    <definedName name="Table421">'[1]4-21'!$A$1:$Q$68</definedName>
    <definedName name="Table422">'[1]4-22'!$A$1:$Q$68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8" i="1" l="1"/>
  <c r="I68" i="1"/>
  <c r="L68" i="1" s="1"/>
  <c r="M68" i="1" s="1"/>
  <c r="H68" i="1"/>
  <c r="G68" i="1"/>
  <c r="E68" i="1"/>
  <c r="L67" i="1"/>
  <c r="M67" i="1" s="1"/>
  <c r="K67" i="1"/>
  <c r="I67" i="1"/>
  <c r="J67" i="1" s="1"/>
  <c r="H67" i="1"/>
  <c r="G67" i="1"/>
  <c r="E67" i="1"/>
  <c r="L66" i="1"/>
  <c r="M66" i="1" s="1"/>
  <c r="K66" i="1"/>
  <c r="I66" i="1"/>
  <c r="J66" i="1" s="1"/>
  <c r="H66" i="1"/>
  <c r="G66" i="1"/>
  <c r="E66" i="1"/>
  <c r="L65" i="1"/>
  <c r="M65" i="1" s="1"/>
  <c r="K65" i="1"/>
  <c r="I65" i="1"/>
  <c r="J65" i="1" s="1"/>
  <c r="H65" i="1"/>
  <c r="G65" i="1"/>
  <c r="E65" i="1"/>
  <c r="L64" i="1"/>
  <c r="M64" i="1" s="1"/>
  <c r="K64" i="1"/>
  <c r="I64" i="1"/>
  <c r="J64" i="1" s="1"/>
  <c r="H64" i="1"/>
  <c r="G64" i="1"/>
  <c r="E64" i="1"/>
  <c r="L63" i="1"/>
  <c r="M63" i="1" s="1"/>
  <c r="K63" i="1"/>
  <c r="I63" i="1"/>
  <c r="J63" i="1" s="1"/>
  <c r="H63" i="1"/>
  <c r="G63" i="1"/>
  <c r="E63" i="1"/>
  <c r="L62" i="1"/>
  <c r="M62" i="1" s="1"/>
  <c r="K62" i="1"/>
  <c r="I62" i="1"/>
  <c r="J62" i="1" s="1"/>
  <c r="H62" i="1"/>
  <c r="G62" i="1"/>
  <c r="E62" i="1"/>
  <c r="L61" i="1"/>
  <c r="M61" i="1" s="1"/>
  <c r="K61" i="1"/>
  <c r="I61" i="1"/>
  <c r="J61" i="1" s="1"/>
  <c r="H61" i="1"/>
  <c r="G61" i="1"/>
  <c r="E61" i="1"/>
  <c r="L60" i="1"/>
  <c r="M60" i="1" s="1"/>
  <c r="K60" i="1"/>
  <c r="I60" i="1"/>
  <c r="J60" i="1" s="1"/>
  <c r="H60" i="1"/>
  <c r="G60" i="1"/>
  <c r="E60" i="1"/>
  <c r="L59" i="1"/>
  <c r="M59" i="1" s="1"/>
  <c r="K59" i="1"/>
  <c r="I59" i="1"/>
  <c r="J59" i="1" s="1"/>
  <c r="H59" i="1"/>
  <c r="G59" i="1"/>
  <c r="E59" i="1"/>
  <c r="L58" i="1"/>
  <c r="M58" i="1" s="1"/>
  <c r="K58" i="1"/>
  <c r="I58" i="1"/>
  <c r="J58" i="1" s="1"/>
  <c r="H58" i="1"/>
  <c r="G58" i="1"/>
  <c r="E58" i="1"/>
  <c r="L57" i="1"/>
  <c r="M57" i="1" s="1"/>
  <c r="K57" i="1"/>
  <c r="I57" i="1"/>
  <c r="J57" i="1" s="1"/>
  <c r="H57" i="1"/>
  <c r="G57" i="1"/>
  <c r="E57" i="1"/>
  <c r="L56" i="1"/>
  <c r="M56" i="1" s="1"/>
  <c r="K56" i="1"/>
  <c r="I56" i="1"/>
  <c r="J56" i="1" s="1"/>
  <c r="H56" i="1"/>
  <c r="G56" i="1"/>
  <c r="E56" i="1"/>
  <c r="L55" i="1"/>
  <c r="M55" i="1" s="1"/>
  <c r="K55" i="1"/>
  <c r="I55" i="1"/>
  <c r="J55" i="1" s="1"/>
  <c r="H55" i="1"/>
  <c r="G55" i="1"/>
  <c r="E55" i="1"/>
  <c r="L54" i="1"/>
  <c r="M54" i="1" s="1"/>
  <c r="K54" i="1"/>
  <c r="I54" i="1"/>
  <c r="J54" i="1" s="1"/>
  <c r="H54" i="1"/>
  <c r="G54" i="1"/>
  <c r="E54" i="1"/>
  <c r="L53" i="1"/>
  <c r="M53" i="1" s="1"/>
  <c r="K53" i="1"/>
  <c r="I53" i="1"/>
  <c r="J53" i="1" s="1"/>
  <c r="H53" i="1"/>
  <c r="G53" i="1"/>
  <c r="E53" i="1"/>
  <c r="L52" i="1"/>
  <c r="M52" i="1" s="1"/>
  <c r="K52" i="1"/>
  <c r="I52" i="1"/>
  <c r="J52" i="1" s="1"/>
  <c r="H52" i="1"/>
  <c r="G52" i="1"/>
  <c r="E52" i="1"/>
  <c r="L51" i="1"/>
  <c r="M51" i="1" s="1"/>
  <c r="K51" i="1"/>
  <c r="I51" i="1"/>
  <c r="J51" i="1" s="1"/>
  <c r="H51" i="1"/>
  <c r="G51" i="1"/>
  <c r="E51" i="1"/>
  <c r="L50" i="1"/>
  <c r="M50" i="1" s="1"/>
  <c r="K50" i="1"/>
  <c r="I50" i="1"/>
  <c r="J50" i="1" s="1"/>
  <c r="H50" i="1"/>
  <c r="G50" i="1"/>
  <c r="E50" i="1"/>
  <c r="L49" i="1"/>
  <c r="M49" i="1" s="1"/>
  <c r="K49" i="1"/>
  <c r="I49" i="1"/>
  <c r="J49" i="1" s="1"/>
  <c r="H49" i="1"/>
  <c r="G49" i="1"/>
  <c r="E49" i="1"/>
  <c r="L48" i="1"/>
  <c r="M48" i="1" s="1"/>
  <c r="K48" i="1"/>
  <c r="I48" i="1"/>
  <c r="J48" i="1" s="1"/>
  <c r="H48" i="1"/>
  <c r="G48" i="1"/>
  <c r="E48" i="1"/>
  <c r="L47" i="1"/>
  <c r="M47" i="1" s="1"/>
  <c r="K47" i="1"/>
  <c r="I47" i="1"/>
  <c r="J47" i="1" s="1"/>
  <c r="H47" i="1"/>
  <c r="G47" i="1"/>
  <c r="E47" i="1"/>
  <c r="L46" i="1"/>
  <c r="M46" i="1" s="1"/>
  <c r="K46" i="1"/>
  <c r="I46" i="1"/>
  <c r="J46" i="1" s="1"/>
  <c r="H46" i="1"/>
  <c r="G46" i="1"/>
  <c r="E46" i="1"/>
  <c r="L45" i="1"/>
  <c r="M45" i="1" s="1"/>
  <c r="K45" i="1"/>
  <c r="I45" i="1"/>
  <c r="J45" i="1" s="1"/>
  <c r="H45" i="1"/>
  <c r="G45" i="1"/>
  <c r="E45" i="1"/>
  <c r="L44" i="1"/>
  <c r="M44" i="1" s="1"/>
  <c r="K44" i="1"/>
  <c r="I44" i="1"/>
  <c r="J44" i="1" s="1"/>
  <c r="H44" i="1"/>
  <c r="G44" i="1"/>
  <c r="E44" i="1"/>
  <c r="L43" i="1"/>
  <c r="M43" i="1" s="1"/>
  <c r="K43" i="1"/>
  <c r="I43" i="1"/>
  <c r="J43" i="1" s="1"/>
  <c r="H43" i="1"/>
  <c r="G43" i="1"/>
  <c r="E43" i="1"/>
  <c r="L42" i="1"/>
  <c r="M42" i="1" s="1"/>
  <c r="K42" i="1"/>
  <c r="I42" i="1"/>
  <c r="J42" i="1" s="1"/>
  <c r="H42" i="1"/>
  <c r="G42" i="1"/>
  <c r="E42" i="1"/>
  <c r="L41" i="1"/>
  <c r="M41" i="1" s="1"/>
  <c r="K41" i="1"/>
  <c r="I41" i="1"/>
  <c r="J41" i="1" s="1"/>
  <c r="H41" i="1"/>
  <c r="G41" i="1"/>
  <c r="E41" i="1"/>
  <c r="L40" i="1"/>
  <c r="M40" i="1" s="1"/>
  <c r="K40" i="1"/>
  <c r="I40" i="1"/>
  <c r="J40" i="1" s="1"/>
  <c r="H40" i="1"/>
  <c r="G40" i="1"/>
  <c r="E40" i="1"/>
  <c r="L39" i="1"/>
  <c r="M39" i="1" s="1"/>
  <c r="K39" i="1"/>
  <c r="I39" i="1"/>
  <c r="J39" i="1" s="1"/>
  <c r="H39" i="1"/>
  <c r="G39" i="1"/>
  <c r="E39" i="1"/>
  <c r="L38" i="1"/>
  <c r="M38" i="1" s="1"/>
  <c r="K38" i="1"/>
  <c r="I38" i="1"/>
  <c r="J38" i="1" s="1"/>
  <c r="H38" i="1"/>
  <c r="G38" i="1"/>
  <c r="E38" i="1"/>
  <c r="L37" i="1"/>
  <c r="M37" i="1" s="1"/>
  <c r="K37" i="1"/>
  <c r="I37" i="1"/>
  <c r="J37" i="1" s="1"/>
  <c r="H37" i="1"/>
  <c r="G37" i="1"/>
  <c r="E37" i="1"/>
  <c r="L36" i="1"/>
  <c r="M36" i="1" s="1"/>
  <c r="K36" i="1"/>
  <c r="I36" i="1"/>
  <c r="J36" i="1" s="1"/>
  <c r="H36" i="1"/>
  <c r="G36" i="1"/>
  <c r="E36" i="1"/>
  <c r="L35" i="1"/>
  <c r="M35" i="1" s="1"/>
  <c r="K35" i="1"/>
  <c r="I35" i="1"/>
  <c r="J35" i="1" s="1"/>
  <c r="H35" i="1"/>
  <c r="G35" i="1"/>
  <c r="E35" i="1"/>
  <c r="L34" i="1"/>
  <c r="M34" i="1" s="1"/>
  <c r="K34" i="1"/>
  <c r="I34" i="1"/>
  <c r="J34" i="1" s="1"/>
  <c r="H34" i="1"/>
  <c r="G34" i="1"/>
  <c r="E34" i="1"/>
  <c r="L33" i="1"/>
  <c r="M33" i="1" s="1"/>
  <c r="K33" i="1"/>
  <c r="I33" i="1"/>
  <c r="J33" i="1" s="1"/>
  <c r="H33" i="1"/>
  <c r="G33" i="1"/>
  <c r="E33" i="1"/>
  <c r="L32" i="1"/>
  <c r="M32" i="1" s="1"/>
  <c r="K32" i="1"/>
  <c r="I32" i="1"/>
  <c r="J32" i="1" s="1"/>
  <c r="H32" i="1"/>
  <c r="G32" i="1"/>
  <c r="E32" i="1"/>
  <c r="L31" i="1"/>
  <c r="M31" i="1" s="1"/>
  <c r="K31" i="1"/>
  <c r="I31" i="1"/>
  <c r="J31" i="1" s="1"/>
  <c r="H31" i="1"/>
  <c r="G31" i="1"/>
  <c r="E31" i="1"/>
  <c r="K30" i="1"/>
  <c r="L30" i="1" s="1"/>
  <c r="M30" i="1" s="1"/>
  <c r="I30" i="1"/>
  <c r="J30" i="1" s="1"/>
  <c r="H30" i="1"/>
  <c r="G30" i="1"/>
  <c r="E30" i="1"/>
  <c r="K29" i="1"/>
  <c r="L29" i="1" s="1"/>
  <c r="M29" i="1" s="1"/>
  <c r="I29" i="1"/>
  <c r="J29" i="1" s="1"/>
  <c r="H29" i="1"/>
  <c r="G29" i="1"/>
  <c r="E29" i="1"/>
  <c r="K28" i="1"/>
  <c r="L28" i="1" s="1"/>
  <c r="M28" i="1" s="1"/>
  <c r="I28" i="1"/>
  <c r="J28" i="1" s="1"/>
  <c r="H28" i="1"/>
  <c r="G28" i="1"/>
  <c r="E28" i="1"/>
  <c r="K27" i="1"/>
  <c r="L27" i="1" s="1"/>
  <c r="M27" i="1" s="1"/>
  <c r="I27" i="1"/>
  <c r="J27" i="1" s="1"/>
  <c r="H27" i="1"/>
  <c r="G27" i="1"/>
  <c r="E27" i="1"/>
  <c r="K26" i="1"/>
  <c r="L26" i="1" s="1"/>
  <c r="M26" i="1" s="1"/>
  <c r="I26" i="1"/>
  <c r="J26" i="1" s="1"/>
  <c r="H26" i="1"/>
  <c r="G26" i="1"/>
  <c r="E26" i="1"/>
  <c r="K25" i="1"/>
  <c r="L25" i="1" s="1"/>
  <c r="M25" i="1" s="1"/>
  <c r="I25" i="1"/>
  <c r="J25" i="1" s="1"/>
  <c r="H25" i="1"/>
  <c r="G25" i="1"/>
  <c r="E25" i="1"/>
  <c r="K24" i="1"/>
  <c r="L24" i="1" s="1"/>
  <c r="M24" i="1" s="1"/>
  <c r="I24" i="1"/>
  <c r="J24" i="1" s="1"/>
  <c r="H24" i="1"/>
  <c r="G24" i="1"/>
  <c r="E24" i="1"/>
  <c r="K23" i="1"/>
  <c r="L23" i="1" s="1"/>
  <c r="M23" i="1" s="1"/>
  <c r="I23" i="1"/>
  <c r="J23" i="1" s="1"/>
  <c r="H23" i="1"/>
  <c r="G23" i="1"/>
  <c r="E23" i="1"/>
  <c r="K22" i="1"/>
  <c r="L22" i="1" s="1"/>
  <c r="M22" i="1" s="1"/>
  <c r="I22" i="1"/>
  <c r="J22" i="1" s="1"/>
  <c r="H22" i="1"/>
  <c r="G22" i="1"/>
  <c r="E22" i="1"/>
  <c r="K21" i="1"/>
  <c r="L21" i="1" s="1"/>
  <c r="M21" i="1" s="1"/>
  <c r="I21" i="1"/>
  <c r="J21" i="1" s="1"/>
  <c r="H21" i="1"/>
  <c r="G21" i="1"/>
  <c r="E21" i="1"/>
  <c r="K20" i="1"/>
  <c r="L20" i="1" s="1"/>
  <c r="M20" i="1" s="1"/>
  <c r="I20" i="1"/>
  <c r="J20" i="1" s="1"/>
  <c r="H20" i="1"/>
  <c r="G20" i="1"/>
  <c r="E20" i="1"/>
  <c r="K19" i="1"/>
  <c r="L19" i="1" s="1"/>
  <c r="M19" i="1" s="1"/>
  <c r="I19" i="1"/>
  <c r="J19" i="1" s="1"/>
  <c r="H19" i="1"/>
  <c r="G19" i="1"/>
  <c r="E19" i="1"/>
  <c r="K18" i="1"/>
  <c r="L18" i="1" s="1"/>
  <c r="M18" i="1" s="1"/>
  <c r="I18" i="1"/>
  <c r="J18" i="1" s="1"/>
  <c r="H18" i="1"/>
  <c r="G18" i="1"/>
  <c r="E18" i="1"/>
  <c r="K17" i="1"/>
  <c r="L17" i="1" s="1"/>
  <c r="M17" i="1" s="1"/>
  <c r="I17" i="1"/>
  <c r="J17" i="1" s="1"/>
  <c r="H17" i="1"/>
  <c r="G17" i="1"/>
  <c r="E17" i="1"/>
  <c r="K16" i="1"/>
  <c r="L16" i="1" s="1"/>
  <c r="M16" i="1" s="1"/>
  <c r="I16" i="1"/>
  <c r="J16" i="1" s="1"/>
  <c r="H16" i="1"/>
  <c r="G16" i="1"/>
  <c r="E16" i="1"/>
  <c r="K15" i="1"/>
  <c r="L15" i="1" s="1"/>
  <c r="M15" i="1" s="1"/>
  <c r="I15" i="1"/>
  <c r="J15" i="1" s="1"/>
  <c r="H15" i="1"/>
  <c r="G15" i="1"/>
  <c r="E15" i="1"/>
  <c r="K14" i="1"/>
  <c r="L14" i="1" s="1"/>
  <c r="M14" i="1" s="1"/>
  <c r="I14" i="1"/>
  <c r="J14" i="1" s="1"/>
  <c r="H14" i="1"/>
  <c r="G14" i="1"/>
  <c r="E14" i="1"/>
  <c r="K13" i="1"/>
  <c r="L13" i="1" s="1"/>
  <c r="M13" i="1" s="1"/>
  <c r="I13" i="1"/>
  <c r="J13" i="1" s="1"/>
  <c r="H13" i="1"/>
  <c r="G13" i="1"/>
  <c r="E13" i="1"/>
  <c r="K12" i="1"/>
  <c r="L12" i="1" s="1"/>
  <c r="M12" i="1" s="1"/>
  <c r="I12" i="1"/>
  <c r="J12" i="1" s="1"/>
  <c r="H12" i="1"/>
  <c r="G12" i="1"/>
  <c r="E12" i="1"/>
  <c r="K11" i="1"/>
  <c r="L11" i="1" s="1"/>
  <c r="M11" i="1" s="1"/>
  <c r="I11" i="1"/>
  <c r="J11" i="1" s="1"/>
  <c r="H11" i="1"/>
  <c r="G11" i="1"/>
  <c r="E11" i="1"/>
  <c r="K10" i="1"/>
  <c r="L10" i="1" s="1"/>
  <c r="M10" i="1" s="1"/>
  <c r="I10" i="1"/>
  <c r="J10" i="1" s="1"/>
  <c r="H10" i="1"/>
  <c r="G10" i="1"/>
  <c r="E10" i="1"/>
  <c r="K9" i="1"/>
  <c r="L9" i="1" s="1"/>
  <c r="M9" i="1" s="1"/>
  <c r="I9" i="1"/>
  <c r="J9" i="1" s="1"/>
  <c r="H9" i="1"/>
  <c r="G9" i="1"/>
  <c r="E9" i="1"/>
  <c r="K8" i="1"/>
  <c r="L8" i="1" s="1"/>
  <c r="M8" i="1" s="1"/>
  <c r="I8" i="1"/>
  <c r="J8" i="1" s="1"/>
  <c r="H8" i="1"/>
  <c r="G8" i="1"/>
  <c r="E8" i="1"/>
  <c r="K7" i="1"/>
  <c r="L7" i="1" s="1"/>
  <c r="M7" i="1" s="1"/>
  <c r="I7" i="1"/>
  <c r="J7" i="1" s="1"/>
  <c r="H7" i="1"/>
  <c r="G7" i="1"/>
  <c r="E7" i="1"/>
  <c r="K6" i="1"/>
  <c r="L6" i="1" s="1"/>
  <c r="M6" i="1" s="1"/>
  <c r="I6" i="1"/>
  <c r="J6" i="1" s="1"/>
  <c r="H6" i="1"/>
  <c r="G6" i="1"/>
  <c r="E6" i="1"/>
  <c r="K5" i="1"/>
  <c r="L5" i="1" s="1"/>
  <c r="M5" i="1" s="1"/>
  <c r="I5" i="1"/>
  <c r="J5" i="1" s="1"/>
  <c r="H5" i="1"/>
  <c r="G5" i="1"/>
  <c r="E5" i="1"/>
  <c r="K4" i="1"/>
  <c r="L4" i="1" s="1"/>
  <c r="M4" i="1" s="1"/>
  <c r="I4" i="1"/>
  <c r="J4" i="1" s="1"/>
  <c r="H4" i="1"/>
  <c r="G4" i="1"/>
  <c r="E4" i="1"/>
  <c r="K3" i="1"/>
  <c r="L3" i="1" s="1"/>
  <c r="M3" i="1" s="1"/>
  <c r="I3" i="1"/>
  <c r="J3" i="1" s="1"/>
  <c r="H3" i="1"/>
  <c r="G3" i="1"/>
  <c r="E3" i="1"/>
  <c r="K2" i="1"/>
  <c r="L2" i="1" s="1"/>
  <c r="M2" i="1" s="1"/>
  <c r="I2" i="1"/>
  <c r="J2" i="1" s="1"/>
  <c r="H2" i="1"/>
  <c r="G2" i="1"/>
  <c r="E2" i="1"/>
  <c r="J68" i="1" l="1"/>
</calcChain>
</file>

<file path=xl/sharedStrings.xml><?xml version="1.0" encoding="utf-8"?>
<sst xmlns="http://schemas.openxmlformats.org/spreadsheetml/2006/main" count="80" uniqueCount="80">
  <si>
    <t>ID</t>
  </si>
  <si>
    <t>County</t>
  </si>
  <si>
    <t>Population</t>
  </si>
  <si>
    <t>GDP</t>
  </si>
  <si>
    <t>Poverty_Rate</t>
  </si>
  <si>
    <t>Uninsured_Rate</t>
  </si>
  <si>
    <t>Pop_Density</t>
  </si>
  <si>
    <t>Over_65</t>
  </si>
  <si>
    <t>Vaccinated</t>
  </si>
  <si>
    <t>% Vaccinated</t>
  </si>
  <si>
    <t>Vacc Rate</t>
  </si>
  <si>
    <t>HIT Days</t>
  </si>
  <si>
    <t>HIT Date</t>
  </si>
  <si>
    <t>Alachua</t>
  </si>
  <si>
    <t>Baker</t>
  </si>
  <si>
    <t>Bay</t>
  </si>
  <si>
    <t>Bradford</t>
  </si>
  <si>
    <t>Brevard</t>
  </si>
  <si>
    <t>Broward</t>
  </si>
  <si>
    <t>Calhoun</t>
  </si>
  <si>
    <t>Charlotte</t>
  </si>
  <si>
    <t>Citrus</t>
  </si>
  <si>
    <t>Clay</t>
  </si>
  <si>
    <t>Collier</t>
  </si>
  <si>
    <t>Columbia</t>
  </si>
  <si>
    <t>DeSoto</t>
  </si>
  <si>
    <t>Dixie</t>
  </si>
  <si>
    <t>Duval</t>
  </si>
  <si>
    <t>Escambia</t>
  </si>
  <si>
    <t>Flagler</t>
  </si>
  <si>
    <t>Franklin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</si>
  <si>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</si>
  <si>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</si>
  <si>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</si>
  <si>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</si>
  <si>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</si>
  <si>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</si>
  <si>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</si>
  <si>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</si>
  <si>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</si>
  <si>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</si>
  <si>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</si>
  <si>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</si>
  <si>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Jackson</t>
  </si>
  <si>
    <t>Jefferson</t>
  </si>
  <si>
    <t>Lafayette</t>
  </si>
  <si>
    <t>Lake</t>
  </si>
  <si>
    <t>Lee</t>
  </si>
  <si>
    <t>Leon</t>
  </si>
  <si>
    <t>Levy</t>
  </si>
  <si>
    <t>Liberty</t>
  </si>
  <si>
    <t>Madison</t>
  </si>
  <si>
    <t>Manatee</t>
  </si>
  <si>
    <t>Marion</t>
  </si>
  <si>
    <t>Martin</t>
  </si>
  <si>
    <t>Miami-Dade</t>
  </si>
  <si>
    <t>Monroe</t>
  </si>
  <si>
    <t>Nassau</t>
  </si>
  <si>
    <t>Okaloosa</t>
  </si>
  <si>
    <t>Okeechobee</t>
  </si>
  <si>
    <t>Orange</t>
  </si>
  <si>
    <t>Osceola</t>
  </si>
  <si>
    <t>Palm Beach</t>
  </si>
  <si>
    <t>Pasco</t>
  </si>
  <si>
    <t>Pinellas</t>
  </si>
  <si>
    <t>Polk</t>
  </si>
  <si>
    <t>Putnam</t>
  </si>
  <si>
    <t>Santa Rosa</t>
  </si>
  <si>
    <t>Sarasota</t>
  </si>
  <si>
    <t>Seminole</t>
  </si>
  <si>
    <t>St. Johns</t>
  </si>
  <si>
    <t>St. Lucie</t>
  </si>
  <si>
    <t>Sumter</t>
  </si>
  <si>
    <t>Suwannee</t>
  </si>
  <si>
    <t>Taylor</t>
  </si>
  <si>
    <t>Union</t>
  </si>
  <si>
    <t>Volusia</t>
  </si>
  <si>
    <t>Wakulla</t>
  </si>
  <si>
    <t>Walton</t>
  </si>
  <si>
    <t>Washington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</si>
</sst>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.dd\.yy"/>
  </numFmts>
  <fonts count="4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7">
    <xf numFmtId="0" fontId="0" fillId="0" borderId="0" xfId="0"/>
    <xf numFmtId="0" fontId="3" fillId="2" borderId="1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/>
    </xf>
    <xf numFmtId="10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vertical="center"/>
    </xf>
  </cellXfs>
  <cellStyles count="2">
    <cellStyle name="Normal" xfId="0" builtinId="0"/>
    <cellStyle name="Normal 2" xfId="1" xr:uid="{118D6735-BA5C-46C0-8820-F7D82C22A7A9}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L_Vaccinations7Day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Controls"/>
      <sheetName val="Counties"/>
      <sheetName val="Vacc_vs_Poverty"/>
      <sheetName val="Vacc_vs_Uninsured_Rate"/>
      <sheetName val="Vacc_vs_PopDensity"/>
      <sheetName val="4-15"/>
      <sheetName val="4-16"/>
      <sheetName val="4-17"/>
      <sheetName val="4-18"/>
      <sheetName val="4-19"/>
      <sheetName val="4-20"/>
      <sheetName val="4-21"/>
      <sheetName val="4-22"/>
    </sheetNames>
    <sheetDataSet>
      <sheetData sheetId="0">
        <row r="1">
          <cell r="A1">
            <v>48</v>
          </cell>
          <cell r="H1">
            <v>1254107</v>
          </cell>
        </row>
        <row r="2">
          <cell r="D2">
            <v>1393452</v>
          </cell>
        </row>
        <row r="3">
          <cell r="D3">
            <v>0.9</v>
          </cell>
          <cell r="H3">
            <v>261</v>
          </cell>
        </row>
      </sheetData>
      <sheetData sheetId="1">
        <row r="1">
          <cell r="A1" t="str">
            <v>ID</v>
          </cell>
          <cell r="B1" t="str">
            <v>County</v>
          </cell>
          <cell r="C1" t="str">
            <v>Population</v>
          </cell>
          <cell r="D1" t="str">
            <v>GDP</v>
          </cell>
          <cell r="E1" t="str">
            <v>Poverty_Rate</v>
          </cell>
          <cell r="F1" t="str">
            <v>Uninsured_Rate</v>
          </cell>
          <cell r="G1" t="str">
            <v>Pop_Density</v>
          </cell>
          <cell r="H1" t="str">
            <v>Over_65</v>
          </cell>
        </row>
        <row r="2">
          <cell r="A2">
            <v>1</v>
          </cell>
          <cell r="B2" t="str">
            <v>Alachua</v>
          </cell>
          <cell r="C2">
            <v>269043</v>
          </cell>
          <cell r="D2">
            <v>12914477</v>
          </cell>
          <cell r="E2">
            <v>21.8</v>
          </cell>
          <cell r="F2">
            <v>9.1999999999999993</v>
          </cell>
          <cell r="G2">
            <v>307.29000000000002</v>
          </cell>
          <cell r="H2">
            <v>14.6</v>
          </cell>
        </row>
        <row r="3">
          <cell r="A3">
            <v>2</v>
          </cell>
          <cell r="B3" t="str">
            <v>Baker</v>
          </cell>
          <cell r="C3">
            <v>29210</v>
          </cell>
          <cell r="D3">
            <v>559561</v>
          </cell>
          <cell r="E3">
            <v>14.6</v>
          </cell>
          <cell r="F3">
            <v>12.5</v>
          </cell>
          <cell r="G3">
            <v>49.91</v>
          </cell>
          <cell r="H3">
            <v>14.09</v>
          </cell>
        </row>
        <row r="4">
          <cell r="A4">
            <v>3</v>
          </cell>
          <cell r="B4" t="str">
            <v>Bay</v>
          </cell>
          <cell r="C4">
            <v>174705</v>
          </cell>
          <cell r="D4">
            <v>7772152</v>
          </cell>
          <cell r="E4">
            <v>14.7</v>
          </cell>
          <cell r="F4">
            <v>14.2</v>
          </cell>
          <cell r="G4">
            <v>230.3</v>
          </cell>
          <cell r="H4">
            <v>18.62</v>
          </cell>
        </row>
        <row r="5">
          <cell r="A5">
            <v>4</v>
          </cell>
          <cell r="B5" t="str">
            <v>Bradford</v>
          </cell>
          <cell r="C5">
            <v>28201</v>
          </cell>
          <cell r="D5">
            <v>668271</v>
          </cell>
          <cell r="E5">
            <v>20.3</v>
          </cell>
          <cell r="F5">
            <v>12.4</v>
          </cell>
          <cell r="G5">
            <v>95.93</v>
          </cell>
          <cell r="H5">
            <v>17.96</v>
          </cell>
        </row>
        <row r="6">
          <cell r="A6">
            <v>5</v>
          </cell>
          <cell r="B6" t="str">
            <v>Brevard</v>
          </cell>
          <cell r="C6">
            <v>601942</v>
          </cell>
          <cell r="D6">
            <v>24619760</v>
          </cell>
          <cell r="E6">
            <v>12.7</v>
          </cell>
          <cell r="F6">
            <v>10.8</v>
          </cell>
          <cell r="G6">
            <v>593.05999999999995</v>
          </cell>
          <cell r="H6">
            <v>24.21</v>
          </cell>
        </row>
        <row r="7">
          <cell r="A7">
            <v>6</v>
          </cell>
          <cell r="B7" t="str">
            <v>Broward</v>
          </cell>
          <cell r="C7">
            <v>1952778</v>
          </cell>
          <cell r="D7">
            <v>99909302</v>
          </cell>
          <cell r="E7">
            <v>13.5</v>
          </cell>
          <cell r="F7">
            <v>14.6</v>
          </cell>
          <cell r="G7">
            <v>1623.5</v>
          </cell>
          <cell r="H7">
            <v>17.13</v>
          </cell>
        </row>
        <row r="8">
          <cell r="A8">
            <v>7</v>
          </cell>
          <cell r="B8" t="str">
            <v>Calhoun</v>
          </cell>
          <cell r="C8">
            <v>14105</v>
          </cell>
          <cell r="D8">
            <v>253914</v>
          </cell>
          <cell r="E8">
            <v>12.2</v>
          </cell>
          <cell r="F8">
            <v>18.3</v>
          </cell>
          <cell r="G8">
            <v>24.86</v>
          </cell>
          <cell r="H8">
            <v>18.93</v>
          </cell>
        </row>
        <row r="9">
          <cell r="A9">
            <v>8</v>
          </cell>
          <cell r="B9" t="str">
            <v>Charlotte</v>
          </cell>
          <cell r="C9">
            <v>188910</v>
          </cell>
          <cell r="D9">
            <v>4952728</v>
          </cell>
          <cell r="E9">
            <v>11.1</v>
          </cell>
          <cell r="F9">
            <v>11.3</v>
          </cell>
          <cell r="G9">
            <v>277.36</v>
          </cell>
          <cell r="H9">
            <v>40.799999999999997</v>
          </cell>
        </row>
        <row r="10">
          <cell r="A10">
            <v>9</v>
          </cell>
          <cell r="B10" t="str">
            <v>Citrus</v>
          </cell>
          <cell r="C10">
            <v>149657</v>
          </cell>
          <cell r="D10">
            <v>3879314</v>
          </cell>
          <cell r="E10">
            <v>16.7</v>
          </cell>
          <cell r="F10">
            <v>10.4</v>
          </cell>
          <cell r="G10">
            <v>257.18</v>
          </cell>
          <cell r="H10">
            <v>36.71</v>
          </cell>
        </row>
        <row r="11">
          <cell r="A11">
            <v>10</v>
          </cell>
          <cell r="B11" t="str">
            <v>Clay</v>
          </cell>
          <cell r="C11">
            <v>219252</v>
          </cell>
          <cell r="D11">
            <v>4858684</v>
          </cell>
          <cell r="E11">
            <v>10.6</v>
          </cell>
          <cell r="F11">
            <v>10.4</v>
          </cell>
          <cell r="G11">
            <v>362.63</v>
          </cell>
          <cell r="H11">
            <v>16.350000000000001</v>
          </cell>
        </row>
        <row r="12">
          <cell r="A12">
            <v>11</v>
          </cell>
          <cell r="B12" t="str">
            <v>Collier</v>
          </cell>
          <cell r="C12">
            <v>384902</v>
          </cell>
          <cell r="D12">
            <v>16351772</v>
          </cell>
          <cell r="E12">
            <v>12.3</v>
          </cell>
          <cell r="F12">
            <v>16.5</v>
          </cell>
          <cell r="G12">
            <v>192.75</v>
          </cell>
          <cell r="H12">
            <v>32.92</v>
          </cell>
        </row>
        <row r="13">
          <cell r="A13">
            <v>12</v>
          </cell>
          <cell r="B13" t="str">
            <v>Columbia</v>
          </cell>
          <cell r="C13">
            <v>71686</v>
          </cell>
          <cell r="D13">
            <v>2228549</v>
          </cell>
          <cell r="E13">
            <v>17.399999999999999</v>
          </cell>
          <cell r="F13">
            <v>12.4</v>
          </cell>
          <cell r="G13">
            <v>89.88</v>
          </cell>
          <cell r="H13">
            <v>19.260000000000002</v>
          </cell>
        </row>
        <row r="14">
          <cell r="A14">
            <v>13</v>
          </cell>
          <cell r="B14" t="str">
            <v>DeSoto</v>
          </cell>
          <cell r="C14">
            <v>38001</v>
          </cell>
          <cell r="D14">
            <v>1014538</v>
          </cell>
          <cell r="E14">
            <v>28.5</v>
          </cell>
          <cell r="F14">
            <v>18.399999999999999</v>
          </cell>
          <cell r="G14">
            <v>59.68</v>
          </cell>
          <cell r="H14">
            <v>22.52</v>
          </cell>
        </row>
        <row r="15">
          <cell r="A15">
            <v>14</v>
          </cell>
          <cell r="B15" t="str">
            <v>Dixie</v>
          </cell>
          <cell r="C15">
            <v>16826</v>
          </cell>
          <cell r="D15">
            <v>289624</v>
          </cell>
          <cell r="E15">
            <v>23.1</v>
          </cell>
          <cell r="F15">
            <v>17.2</v>
          </cell>
          <cell r="G15">
            <v>23.86</v>
          </cell>
          <cell r="H15">
            <v>23.68</v>
          </cell>
        </row>
        <row r="16">
          <cell r="A16">
            <v>15</v>
          </cell>
          <cell r="B16" t="str">
            <v>Duval</v>
          </cell>
          <cell r="C16">
            <v>957755</v>
          </cell>
          <cell r="D16">
            <v>60169891</v>
          </cell>
          <cell r="E16">
            <v>15.5</v>
          </cell>
          <cell r="F16">
            <v>12</v>
          </cell>
          <cell r="G16">
            <v>1255.8599999999999</v>
          </cell>
          <cell r="H16">
            <v>14.47</v>
          </cell>
        </row>
        <row r="17">
          <cell r="A17">
            <v>16</v>
          </cell>
          <cell r="B17" t="str">
            <v>Escambia</v>
          </cell>
          <cell r="C17">
            <v>318316</v>
          </cell>
          <cell r="D17">
            <v>14931928</v>
          </cell>
          <cell r="E17">
            <v>13.9</v>
          </cell>
          <cell r="F17">
            <v>10.199999999999999</v>
          </cell>
          <cell r="G17">
            <v>484.52</v>
          </cell>
          <cell r="H17">
            <v>17.14</v>
          </cell>
        </row>
        <row r="18">
          <cell r="A18">
            <v>17</v>
          </cell>
          <cell r="B18" t="str">
            <v>Flagler</v>
          </cell>
          <cell r="C18">
            <v>115081</v>
          </cell>
          <cell r="D18">
            <v>2221979</v>
          </cell>
          <cell r="E18">
            <v>11.9</v>
          </cell>
          <cell r="F18">
            <v>12.7</v>
          </cell>
          <cell r="G18">
            <v>237.21</v>
          </cell>
          <cell r="H18">
            <v>31.19</v>
          </cell>
        </row>
        <row r="19">
          <cell r="A19">
            <v>18</v>
          </cell>
          <cell r="B19" t="str">
            <v>Franklin</v>
          </cell>
          <cell r="C19">
            <v>12125</v>
          </cell>
          <cell r="D19">
            <v>381839</v>
          </cell>
          <cell r="E19">
            <v>20.7</v>
          </cell>
          <cell r="F19">
            <v>18.3</v>
          </cell>
          <cell r="G19">
            <v>22.24</v>
          </cell>
          <cell r="H19">
            <v>24.13</v>
          </cell>
        </row>
        <row r="20">
          <cell r="A20">
            <v>19</v>
          </cell>
          <cell r="B20" t="str">
            <v>Gadsden</v>
          </cell>
          <cell r="C20">
            <v>45660</v>
          </cell>
          <cell r="D20">
            <v>1276171</v>
          </cell>
          <cell r="E20">
            <v>24.6</v>
          </cell>
          <cell r="F20">
            <v>14.9</v>
          </cell>
          <cell r="G20">
            <v>88.44</v>
          </cell>
          <cell r="H20">
            <v>18.7</v>
          </cell>
        </row>
        <row r="21">
          <cell r="A21">
            <v>20</v>
          </cell>
          <cell r="B21" t="str">
            <v>Gilchrist</v>
          </cell>
          <cell r="C21">
            <v>18582</v>
          </cell>
          <cell r="D21">
            <v>355242</v>
          </cell>
          <cell r="E21">
            <v>17.899999999999999</v>
          </cell>
          <cell r="F21">
            <v>18.100000000000001</v>
          </cell>
          <cell r="G21">
            <v>53.14</v>
          </cell>
          <cell r="H21">
            <v>20.65</v>
          </cell>
        </row>
        <row r="22">
          <cell r="A22">
            <v>21</v>
          </cell>
          <cell r="B22" t="str">
            <v>Glades</v>
          </cell>
          <cell r="C22">
            <v>13811</v>
          </cell>
          <cell r="D22">
            <v>320686</v>
          </cell>
          <cell r="E22">
            <v>17</v>
          </cell>
          <cell r="F22">
            <v>19.899999999999999</v>
          </cell>
          <cell r="G22">
            <v>17.12</v>
          </cell>
          <cell r="H22">
            <v>27.57</v>
          </cell>
        </row>
        <row r="23">
          <cell r="A23">
            <v>22</v>
          </cell>
          <cell r="B23" t="str">
            <v>Gulf</v>
          </cell>
          <cell r="C23">
            <v>13639</v>
          </cell>
          <cell r="D23">
            <v>410310</v>
          </cell>
          <cell r="E23">
            <v>13.9</v>
          </cell>
          <cell r="F23">
            <v>11.4</v>
          </cell>
          <cell r="G23">
            <v>24.64</v>
          </cell>
          <cell r="H23">
            <v>26.5</v>
          </cell>
        </row>
        <row r="24">
          <cell r="A24">
            <v>23</v>
          </cell>
          <cell r="B24" t="str">
            <v>Hamilton</v>
          </cell>
          <cell r="C24">
            <v>14428</v>
          </cell>
          <cell r="D24">
            <v>492817</v>
          </cell>
          <cell r="E24">
            <v>29.5</v>
          </cell>
          <cell r="F24">
            <v>14.3</v>
          </cell>
          <cell r="G24">
            <v>28.08</v>
          </cell>
          <cell r="H24">
            <v>18.46</v>
          </cell>
        </row>
        <row r="25">
          <cell r="A25">
            <v>24</v>
          </cell>
          <cell r="B25" t="str">
            <v>Hardee</v>
          </cell>
          <cell r="C25">
            <v>26937</v>
          </cell>
          <cell r="D25">
            <v>1023242</v>
          </cell>
          <cell r="E25">
            <v>26.7</v>
          </cell>
          <cell r="F25">
            <v>12.2</v>
          </cell>
          <cell r="G25">
            <v>42.25</v>
          </cell>
          <cell r="H25">
            <v>17.43</v>
          </cell>
        </row>
        <row r="26">
          <cell r="A26">
            <v>25</v>
          </cell>
          <cell r="B26" t="str">
            <v>Hendry</v>
          </cell>
          <cell r="C26">
            <v>42022</v>
          </cell>
          <cell r="D26">
            <v>1314540</v>
          </cell>
          <cell r="E26">
            <v>26.8</v>
          </cell>
          <cell r="F26">
            <v>26.2</v>
          </cell>
          <cell r="G26">
            <v>36.340000000000003</v>
          </cell>
          <cell r="H26">
            <v>13.75</v>
          </cell>
        </row>
        <row r="27">
          <cell r="A27">
            <v>26</v>
          </cell>
          <cell r="B27" t="str">
            <v>Hernando</v>
          </cell>
          <cell r="C27">
            <v>193920</v>
          </cell>
          <cell r="D27">
            <v>3971573</v>
          </cell>
          <cell r="E27">
            <v>14.3</v>
          </cell>
          <cell r="F27">
            <v>12.6</v>
          </cell>
          <cell r="G27">
            <v>410.01</v>
          </cell>
          <cell r="H27">
            <v>27.51</v>
          </cell>
        </row>
        <row r="28">
          <cell r="A28">
            <v>27</v>
          </cell>
          <cell r="B28" t="str">
            <v>Highlands</v>
          </cell>
          <cell r="C28">
            <v>106221</v>
          </cell>
          <cell r="D28">
            <v>2626612</v>
          </cell>
          <cell r="E28">
            <v>19.2</v>
          </cell>
          <cell r="F28">
            <v>12.7</v>
          </cell>
          <cell r="G28">
            <v>104.38</v>
          </cell>
          <cell r="H28">
            <v>36.049999999999997</v>
          </cell>
        </row>
        <row r="29">
          <cell r="A29">
            <v>28</v>
          </cell>
          <cell r="B29" t="str">
            <v>Hillsborough</v>
          </cell>
          <cell r="C29">
            <v>1471968</v>
          </cell>
          <cell r="D29">
            <v>84884933</v>
          </cell>
          <cell r="E29">
            <v>15.3</v>
          </cell>
          <cell r="F29">
            <v>13</v>
          </cell>
          <cell r="G29">
            <v>1440.39</v>
          </cell>
          <cell r="H29">
            <v>14.54</v>
          </cell>
        </row>
        <row r="30">
          <cell r="A30">
            <v>29</v>
          </cell>
          <cell r="B30" t="str">
            <v>Holmes</v>
          </cell>
          <cell r="C30">
            <v>19617</v>
          </cell>
          <cell r="D30">
            <v>338550</v>
          </cell>
          <cell r="E30">
            <v>25.6</v>
          </cell>
          <cell r="F30">
            <v>18.899999999999999</v>
          </cell>
          <cell r="G30">
            <v>40.97</v>
          </cell>
          <cell r="H30">
            <v>19.989999999999998</v>
          </cell>
        </row>
        <row r="31">
          <cell r="A31">
            <v>30</v>
          </cell>
          <cell r="B31" t="str">
            <v>Indian River</v>
          </cell>
          <cell r="C31">
            <v>159923</v>
          </cell>
          <cell r="D31">
            <v>5966999</v>
          </cell>
          <cell r="E31">
            <v>12.2</v>
          </cell>
          <cell r="F31">
            <v>12.1</v>
          </cell>
          <cell r="G31">
            <v>318.08</v>
          </cell>
          <cell r="H31">
            <v>33.85</v>
          </cell>
        </row>
        <row r="32">
          <cell r="A32">
            <v>31</v>
          </cell>
          <cell r="B32" t="str">
            <v>Jackson</v>
          </cell>
          <cell r="C32">
            <v>46414</v>
          </cell>
          <cell r="D32">
            <v>1408654</v>
          </cell>
          <cell r="E32">
            <v>20.6</v>
          </cell>
          <cell r="F32">
            <v>11.3</v>
          </cell>
          <cell r="G32">
            <v>50.55</v>
          </cell>
          <cell r="H32">
            <v>20.62</v>
          </cell>
        </row>
        <row r="33">
          <cell r="A33">
            <v>32</v>
          </cell>
          <cell r="B33" t="str">
            <v>Jefferson</v>
          </cell>
          <cell r="C33">
            <v>14246</v>
          </cell>
          <cell r="D33">
            <v>293810</v>
          </cell>
          <cell r="E33">
            <v>14.1</v>
          </cell>
          <cell r="F33">
            <v>6.4</v>
          </cell>
          <cell r="G33">
            <v>23.82</v>
          </cell>
          <cell r="H33">
            <v>24.65</v>
          </cell>
        </row>
        <row r="34">
          <cell r="A34">
            <v>33</v>
          </cell>
          <cell r="B34" t="str">
            <v>Lafayette</v>
          </cell>
          <cell r="C34">
            <v>8422</v>
          </cell>
          <cell r="D34">
            <v>171278</v>
          </cell>
          <cell r="E34">
            <v>20.100000000000001</v>
          </cell>
          <cell r="F34">
            <v>17.600000000000001</v>
          </cell>
          <cell r="G34">
            <v>15.5</v>
          </cell>
          <cell r="H34">
            <v>17.28</v>
          </cell>
        </row>
        <row r="35">
          <cell r="A35">
            <v>34</v>
          </cell>
          <cell r="B35" t="str">
            <v>Lake</v>
          </cell>
          <cell r="C35">
            <v>367118</v>
          </cell>
          <cell r="D35">
            <v>8468770</v>
          </cell>
          <cell r="E35">
            <v>12.5</v>
          </cell>
          <cell r="F35">
            <v>11.6</v>
          </cell>
          <cell r="G35">
            <v>386.13</v>
          </cell>
          <cell r="H35">
            <v>27.07</v>
          </cell>
        </row>
        <row r="36">
          <cell r="A36">
            <v>35</v>
          </cell>
          <cell r="B36" t="str">
            <v>Lee</v>
          </cell>
          <cell r="C36">
            <v>770577</v>
          </cell>
          <cell r="D36">
            <v>28207575</v>
          </cell>
          <cell r="E36">
            <v>14</v>
          </cell>
          <cell r="F36">
            <v>14.3</v>
          </cell>
          <cell r="G36">
            <v>986.08</v>
          </cell>
          <cell r="H36">
            <v>29.15</v>
          </cell>
        </row>
        <row r="37">
          <cell r="A37">
            <v>36</v>
          </cell>
          <cell r="B37" t="str">
            <v>Leon</v>
          </cell>
          <cell r="C37">
            <v>293582</v>
          </cell>
          <cell r="D37">
            <v>14357206</v>
          </cell>
          <cell r="E37">
            <v>20.399999999999999</v>
          </cell>
          <cell r="F37">
            <v>8.1999999999999993</v>
          </cell>
          <cell r="G37">
            <v>440.23</v>
          </cell>
          <cell r="H37">
            <v>13.89</v>
          </cell>
        </row>
        <row r="38">
          <cell r="A38">
            <v>37</v>
          </cell>
          <cell r="B38" t="str">
            <v>Levy</v>
          </cell>
          <cell r="C38">
            <v>41503</v>
          </cell>
          <cell r="D38">
            <v>933042</v>
          </cell>
          <cell r="E38">
            <v>20.7</v>
          </cell>
          <cell r="F38">
            <v>15.5</v>
          </cell>
          <cell r="G38">
            <v>37.119999999999997</v>
          </cell>
          <cell r="H38">
            <v>25.15</v>
          </cell>
        </row>
        <row r="39">
          <cell r="A39">
            <v>38</v>
          </cell>
          <cell r="B39" t="str">
            <v>Liberty</v>
          </cell>
          <cell r="C39">
            <v>8354</v>
          </cell>
          <cell r="D39">
            <v>214226</v>
          </cell>
          <cell r="E39">
            <v>13</v>
          </cell>
          <cell r="F39">
            <v>18.5</v>
          </cell>
          <cell r="G39">
            <v>10</v>
          </cell>
          <cell r="H39">
            <v>15.04</v>
          </cell>
        </row>
        <row r="40">
          <cell r="A40">
            <v>39</v>
          </cell>
          <cell r="B40" t="str">
            <v>Madison</v>
          </cell>
          <cell r="C40">
            <v>18493</v>
          </cell>
          <cell r="D40">
            <v>434847</v>
          </cell>
          <cell r="E40">
            <v>28.2</v>
          </cell>
          <cell r="F40">
            <v>13.1</v>
          </cell>
          <cell r="G40">
            <v>26.55</v>
          </cell>
          <cell r="H40">
            <v>21.1</v>
          </cell>
        </row>
        <row r="41">
          <cell r="A41">
            <v>40</v>
          </cell>
          <cell r="B41" t="str">
            <v>Manatee</v>
          </cell>
          <cell r="C41">
            <v>403253</v>
          </cell>
          <cell r="D41">
            <v>13354224</v>
          </cell>
          <cell r="E41">
            <v>12.5</v>
          </cell>
          <cell r="F41">
            <v>12.7</v>
          </cell>
          <cell r="G41">
            <v>542.28</v>
          </cell>
          <cell r="H41">
            <v>28.06</v>
          </cell>
        </row>
        <row r="42">
          <cell r="A42">
            <v>41</v>
          </cell>
          <cell r="B42" t="str">
            <v>Marion</v>
          </cell>
          <cell r="C42">
            <v>365579</v>
          </cell>
          <cell r="D42">
            <v>9331478</v>
          </cell>
          <cell r="E42">
            <v>16.600000000000001</v>
          </cell>
          <cell r="F42">
            <v>12.3</v>
          </cell>
          <cell r="G42">
            <v>230.15</v>
          </cell>
          <cell r="H42">
            <v>29.18</v>
          </cell>
        </row>
        <row r="43">
          <cell r="A43">
            <v>42</v>
          </cell>
          <cell r="B43" t="str">
            <v>Martin</v>
          </cell>
          <cell r="C43">
            <v>161000</v>
          </cell>
          <cell r="D43">
            <v>7113457</v>
          </cell>
          <cell r="E43">
            <v>10.5</v>
          </cell>
          <cell r="F43">
            <v>11.5</v>
          </cell>
          <cell r="G43">
            <v>296.05</v>
          </cell>
          <cell r="H43">
            <v>31.53</v>
          </cell>
        </row>
        <row r="44">
          <cell r="A44">
            <v>43</v>
          </cell>
          <cell r="B44" t="str">
            <v>Miami-Dade</v>
          </cell>
          <cell r="C44">
            <v>2716940</v>
          </cell>
          <cell r="D44">
            <v>151587328</v>
          </cell>
          <cell r="E44">
            <v>18</v>
          </cell>
          <cell r="F44">
            <v>18.100000000000001</v>
          </cell>
          <cell r="G44">
            <v>1430.09</v>
          </cell>
          <cell r="H44">
            <v>16.66</v>
          </cell>
        </row>
        <row r="45">
          <cell r="A45">
            <v>44</v>
          </cell>
          <cell r="B45" t="str">
            <v>Monroe</v>
          </cell>
          <cell r="C45">
            <v>74228</v>
          </cell>
          <cell r="D45">
            <v>4523546</v>
          </cell>
          <cell r="E45">
            <v>11.8</v>
          </cell>
          <cell r="F45">
            <v>17.8</v>
          </cell>
          <cell r="G45">
            <v>75.510000000000005</v>
          </cell>
          <cell r="H45">
            <v>23.75</v>
          </cell>
        </row>
        <row r="46">
          <cell r="A46">
            <v>45</v>
          </cell>
          <cell r="B46" t="str">
            <v>Nassau</v>
          </cell>
          <cell r="C46">
            <v>88625</v>
          </cell>
          <cell r="D46">
            <v>2397438</v>
          </cell>
          <cell r="E46">
            <v>10.199999999999999</v>
          </cell>
          <cell r="F46">
            <v>11</v>
          </cell>
          <cell r="G46">
            <v>136.62</v>
          </cell>
          <cell r="H46">
            <v>22.83</v>
          </cell>
        </row>
        <row r="47">
          <cell r="A47">
            <v>46</v>
          </cell>
          <cell r="B47" t="str">
            <v>Okaloosa</v>
          </cell>
          <cell r="C47">
            <v>210738</v>
          </cell>
          <cell r="D47">
            <v>11156453</v>
          </cell>
          <cell r="E47">
            <v>11.5</v>
          </cell>
          <cell r="F47">
            <v>12.2</v>
          </cell>
          <cell r="G47">
            <v>226.55</v>
          </cell>
          <cell r="H47">
            <v>16.309999999999999</v>
          </cell>
        </row>
        <row r="48">
          <cell r="A48">
            <v>47</v>
          </cell>
          <cell r="B48" t="str">
            <v>Okeechobee</v>
          </cell>
          <cell r="C48">
            <v>42168</v>
          </cell>
          <cell r="D48">
            <v>1577307</v>
          </cell>
          <cell r="E48">
            <v>22.7</v>
          </cell>
          <cell r="F48">
            <v>18.100000000000001</v>
          </cell>
          <cell r="G48">
            <v>54.82</v>
          </cell>
          <cell r="H48">
            <v>20.12</v>
          </cell>
        </row>
        <row r="49">
          <cell r="A49">
            <v>48</v>
          </cell>
          <cell r="B49" t="str">
            <v>Orange</v>
          </cell>
          <cell r="C49">
            <v>1393452</v>
          </cell>
          <cell r="D49">
            <v>90245169</v>
          </cell>
          <cell r="E49">
            <v>16.100000000000001</v>
          </cell>
          <cell r="F49">
            <v>14.5</v>
          </cell>
          <cell r="G49">
            <v>1545.08</v>
          </cell>
          <cell r="H49">
            <v>12.31</v>
          </cell>
        </row>
        <row r="50">
          <cell r="A50">
            <v>49</v>
          </cell>
          <cell r="B50" t="str">
            <v>Osceola</v>
          </cell>
          <cell r="C50">
            <v>375751</v>
          </cell>
          <cell r="D50">
            <v>9053658</v>
          </cell>
          <cell r="E50">
            <v>16.3</v>
          </cell>
          <cell r="F50">
            <v>15.8</v>
          </cell>
          <cell r="G50">
            <v>283.04000000000002</v>
          </cell>
          <cell r="H50">
            <v>13.52</v>
          </cell>
        </row>
        <row r="51">
          <cell r="A51">
            <v>50</v>
          </cell>
          <cell r="B51" t="str">
            <v>Palm Beach</v>
          </cell>
          <cell r="C51">
            <v>1496770</v>
          </cell>
          <cell r="D51">
            <v>75635325</v>
          </cell>
          <cell r="E51">
            <v>12.8</v>
          </cell>
          <cell r="F51">
            <v>13.6</v>
          </cell>
          <cell r="G51">
            <v>761.99</v>
          </cell>
          <cell r="H51">
            <v>24.36</v>
          </cell>
        </row>
        <row r="52">
          <cell r="A52">
            <v>51</v>
          </cell>
          <cell r="B52" t="str">
            <v>Pasco</v>
          </cell>
          <cell r="C52">
            <v>553947</v>
          </cell>
          <cell r="D52">
            <v>11638076</v>
          </cell>
          <cell r="E52">
            <v>13.5</v>
          </cell>
          <cell r="F52">
            <v>11.8</v>
          </cell>
          <cell r="G52">
            <v>741.98</v>
          </cell>
          <cell r="H52">
            <v>22.65</v>
          </cell>
        </row>
        <row r="53">
          <cell r="A53">
            <v>52</v>
          </cell>
          <cell r="B53" t="str">
            <v>Pinellas</v>
          </cell>
          <cell r="C53">
            <v>974996</v>
          </cell>
          <cell r="D53">
            <v>47873967</v>
          </cell>
          <cell r="E53">
            <v>13</v>
          </cell>
          <cell r="F53">
            <v>11.5</v>
          </cell>
          <cell r="G53">
            <v>3561.28</v>
          </cell>
          <cell r="H53">
            <v>25.4</v>
          </cell>
        </row>
        <row r="54">
          <cell r="A54">
            <v>53</v>
          </cell>
          <cell r="B54" t="str">
            <v>Polk</v>
          </cell>
          <cell r="C54">
            <v>724777</v>
          </cell>
          <cell r="D54">
            <v>24837880</v>
          </cell>
          <cell r="E54">
            <v>16.600000000000001</v>
          </cell>
          <cell r="F54">
            <v>13.2</v>
          </cell>
          <cell r="G54">
            <v>403.21</v>
          </cell>
          <cell r="H54">
            <v>20.440000000000001</v>
          </cell>
        </row>
        <row r="55">
          <cell r="A55">
            <v>54</v>
          </cell>
          <cell r="B55" t="str">
            <v>Putnam</v>
          </cell>
          <cell r="C55">
            <v>74521</v>
          </cell>
          <cell r="D55">
            <v>2066592</v>
          </cell>
          <cell r="E55">
            <v>24.8</v>
          </cell>
          <cell r="F55">
            <v>16</v>
          </cell>
          <cell r="G55">
            <v>102.38</v>
          </cell>
          <cell r="H55">
            <v>23.72</v>
          </cell>
        </row>
        <row r="56">
          <cell r="A56">
            <v>55</v>
          </cell>
          <cell r="B56" t="str">
            <v>Santa Rosa</v>
          </cell>
          <cell r="C56">
            <v>184313</v>
          </cell>
          <cell r="D56">
            <v>7778133</v>
          </cell>
          <cell r="E56">
            <v>9.8000000000000007</v>
          </cell>
          <cell r="F56">
            <v>10</v>
          </cell>
          <cell r="G56">
            <v>182.06</v>
          </cell>
          <cell r="H56">
            <v>16.34</v>
          </cell>
        </row>
        <row r="57">
          <cell r="A57">
            <v>56</v>
          </cell>
          <cell r="B57" t="str">
            <v>Sarasota</v>
          </cell>
          <cell r="C57">
            <v>433742</v>
          </cell>
          <cell r="D57">
            <v>8431479</v>
          </cell>
          <cell r="E57">
            <v>9.6999999999999993</v>
          </cell>
          <cell r="F57">
            <v>11.4</v>
          </cell>
          <cell r="G57">
            <v>780.13</v>
          </cell>
          <cell r="H57">
            <v>37.340000000000003</v>
          </cell>
        </row>
        <row r="58">
          <cell r="A58">
            <v>57</v>
          </cell>
          <cell r="B58" t="str">
            <v>Seminole</v>
          </cell>
          <cell r="C58">
            <v>471826</v>
          </cell>
          <cell r="D58">
            <v>4137020</v>
          </cell>
          <cell r="E58">
            <v>11.4</v>
          </cell>
          <cell r="F58">
            <v>10.4</v>
          </cell>
          <cell r="G58">
            <v>1525.34</v>
          </cell>
          <cell r="H58">
            <v>15.98</v>
          </cell>
        </row>
        <row r="59">
          <cell r="A59">
            <v>58</v>
          </cell>
          <cell r="B59" t="str">
            <v>St. Johns</v>
          </cell>
          <cell r="C59">
            <v>264672</v>
          </cell>
          <cell r="D59">
            <v>18382610</v>
          </cell>
          <cell r="E59">
            <v>8.4</v>
          </cell>
          <cell r="F59">
            <v>8.4</v>
          </cell>
          <cell r="G59">
            <v>440.71</v>
          </cell>
          <cell r="H59">
            <v>20.65</v>
          </cell>
        </row>
        <row r="60">
          <cell r="A60">
            <v>59</v>
          </cell>
          <cell r="B60" t="str">
            <v>St. Lucie</v>
          </cell>
          <cell r="C60">
            <v>328297</v>
          </cell>
          <cell r="D60">
            <v>20654326</v>
          </cell>
          <cell r="E60">
            <v>15</v>
          </cell>
          <cell r="F60">
            <v>14</v>
          </cell>
          <cell r="G60">
            <v>574.29999999999995</v>
          </cell>
          <cell r="H60">
            <v>24.65</v>
          </cell>
        </row>
        <row r="61">
          <cell r="A61">
            <v>60</v>
          </cell>
          <cell r="B61" t="str">
            <v>Sumter</v>
          </cell>
          <cell r="C61">
            <v>132420</v>
          </cell>
          <cell r="D61">
            <v>2690053</v>
          </cell>
          <cell r="E61">
            <v>8.8000000000000007</v>
          </cell>
          <cell r="F61">
            <v>6.2</v>
          </cell>
          <cell r="G61">
            <v>237.68</v>
          </cell>
          <cell r="H61">
            <v>58.17</v>
          </cell>
        </row>
        <row r="62">
          <cell r="A62">
            <v>61</v>
          </cell>
          <cell r="B62" t="str">
            <v>Suwannee</v>
          </cell>
          <cell r="C62">
            <v>44417</v>
          </cell>
          <cell r="D62">
            <v>1258570</v>
          </cell>
          <cell r="E62">
            <v>17.8</v>
          </cell>
          <cell r="F62">
            <v>13.9</v>
          </cell>
          <cell r="G62">
            <v>64.510000000000005</v>
          </cell>
          <cell r="H62">
            <v>21.73</v>
          </cell>
        </row>
        <row r="63">
          <cell r="A63">
            <v>62</v>
          </cell>
          <cell r="B63" t="str">
            <v>Taylor</v>
          </cell>
          <cell r="C63">
            <v>21569</v>
          </cell>
          <cell r="D63">
            <v>766755</v>
          </cell>
          <cell r="E63">
            <v>19.8</v>
          </cell>
          <cell r="F63">
            <v>10.9</v>
          </cell>
          <cell r="G63">
            <v>20.67</v>
          </cell>
          <cell r="H63">
            <v>20.98</v>
          </cell>
        </row>
        <row r="64">
          <cell r="A64">
            <v>63</v>
          </cell>
          <cell r="B64" t="str">
            <v>Union</v>
          </cell>
          <cell r="C64">
            <v>15237</v>
          </cell>
          <cell r="D64">
            <v>272507</v>
          </cell>
          <cell r="E64">
            <v>22</v>
          </cell>
          <cell r="F64">
            <v>12.4</v>
          </cell>
          <cell r="G64">
            <v>62.56</v>
          </cell>
          <cell r="H64">
            <v>15.21</v>
          </cell>
        </row>
        <row r="65">
          <cell r="A65">
            <v>64</v>
          </cell>
          <cell r="B65" t="str">
            <v>Volusia</v>
          </cell>
          <cell r="C65">
            <v>553284</v>
          </cell>
          <cell r="D65">
            <v>17063419</v>
          </cell>
          <cell r="E65">
            <v>15.2</v>
          </cell>
          <cell r="F65">
            <v>12.5</v>
          </cell>
          <cell r="G65">
            <v>502.42</v>
          </cell>
          <cell r="H65">
            <v>24.91</v>
          </cell>
        </row>
        <row r="66">
          <cell r="A66">
            <v>65</v>
          </cell>
          <cell r="B66" t="str">
            <v>Wakulla</v>
          </cell>
          <cell r="C66">
            <v>33739</v>
          </cell>
          <cell r="D66">
            <v>692619</v>
          </cell>
          <cell r="E66">
            <v>11.5</v>
          </cell>
          <cell r="F66">
            <v>9</v>
          </cell>
          <cell r="G66">
            <v>55.64</v>
          </cell>
          <cell r="H66">
            <v>15.9</v>
          </cell>
        </row>
        <row r="67">
          <cell r="A67">
            <v>66</v>
          </cell>
          <cell r="B67" t="str">
            <v>Walton</v>
          </cell>
          <cell r="C67">
            <v>74071</v>
          </cell>
          <cell r="D67">
            <v>2775045</v>
          </cell>
          <cell r="E67">
            <v>14.7</v>
          </cell>
          <cell r="F67">
            <v>13.5</v>
          </cell>
          <cell r="G67">
            <v>71.38</v>
          </cell>
          <cell r="H67">
            <v>20.22</v>
          </cell>
        </row>
        <row r="68">
          <cell r="A68">
            <v>67</v>
          </cell>
          <cell r="B68" t="str">
            <v>Washington</v>
          </cell>
          <cell r="C68">
            <v>25473</v>
          </cell>
          <cell r="D68">
            <v>524311</v>
          </cell>
          <cell r="E68">
            <v>22.4</v>
          </cell>
          <cell r="F68">
            <v>12.8</v>
          </cell>
          <cell r="G68">
            <v>43.57</v>
          </cell>
          <cell r="H68">
            <v>17.2</v>
          </cell>
        </row>
      </sheetData>
      <sheetData sheetId="2"/>
      <sheetData sheetId="6">
        <row r="1">
          <cell r="B1" t="str">
            <v>County</v>
          </cell>
          <cell r="C1" t="str">
            <v>Level_Of_Transmission</v>
          </cell>
          <cell r="D1" t="str">
            <v>Date_Updated</v>
          </cell>
          <cell r="E1" t="str">
            <v>Infection_Rate</v>
          </cell>
          <cell r="F1" t="str">
            <v>Vaccinated</v>
          </cell>
          <cell r="G1" t="str">
            <v>Vaccinated_Percent</v>
          </cell>
          <cell r="H1" t="str">
            <v>Over_18_Vacc</v>
          </cell>
          <cell r="I1" t="str">
            <v>Over_18_Vacc_Percent</v>
          </cell>
          <cell r="J1" t="str">
            <v>Over_65_Vacc</v>
          </cell>
          <cell r="K1" t="str">
            <v>Over_65_Vacc_Percent</v>
          </cell>
          <cell r="L1" t="str">
            <v>Total_Population</v>
          </cell>
          <cell r="M1" t="str">
            <v>Population_Density</v>
          </cell>
          <cell r="N1" t="str">
            <v>Avg_HH_Size</v>
          </cell>
          <cell r="O1" t="str">
            <v>Percent_Uninsured</v>
          </cell>
          <cell r="P1" t="str">
            <v>Poverty Rate</v>
          </cell>
          <cell r="Q1" t="str">
            <v>Over_65</v>
          </cell>
        </row>
        <row r="2">
          <cell r="A2">
            <v>1</v>
          </cell>
          <cell r="B2" t="str">
            <v>Alachua</v>
          </cell>
          <cell r="C2" t="str">
            <v>high</v>
          </cell>
          <cell r="D2">
            <v>44301</v>
          </cell>
          <cell r="E2">
            <v>105.93</v>
          </cell>
          <cell r="F2">
            <v>68041</v>
          </cell>
          <cell r="G2">
            <v>0.253</v>
          </cell>
          <cell r="H2">
            <v>67996</v>
          </cell>
          <cell r="I2">
            <v>0.308</v>
          </cell>
          <cell r="J2">
            <v>30358</v>
          </cell>
          <cell r="K2">
            <v>0.77300000000000002</v>
          </cell>
          <cell r="L2">
            <v>269043</v>
          </cell>
          <cell r="M2">
            <v>307.29000000000002</v>
          </cell>
          <cell r="N2">
            <v>2.54</v>
          </cell>
          <cell r="O2">
            <v>9.1999999999999993</v>
          </cell>
          <cell r="P2">
            <v>21.8</v>
          </cell>
          <cell r="Q2">
            <v>14.6</v>
          </cell>
        </row>
        <row r="3">
          <cell r="A3">
            <v>2</v>
          </cell>
          <cell r="B3" t="str">
            <v>Baker</v>
          </cell>
          <cell r="C3" t="str">
            <v>substantial</v>
          </cell>
          <cell r="D3">
            <v>44301</v>
          </cell>
          <cell r="E3">
            <v>68.47</v>
          </cell>
          <cell r="F3">
            <v>3360</v>
          </cell>
          <cell r="G3">
            <v>0.115</v>
          </cell>
          <cell r="H3">
            <v>3360</v>
          </cell>
          <cell r="I3">
            <v>0.151</v>
          </cell>
          <cell r="J3">
            <v>2157</v>
          </cell>
          <cell r="K3">
            <v>0.52400000000000002</v>
          </cell>
          <cell r="L3">
            <v>29210</v>
          </cell>
          <cell r="M3">
            <v>49.91</v>
          </cell>
          <cell r="N3">
            <v>2.92</v>
          </cell>
          <cell r="O3">
            <v>12.5</v>
          </cell>
          <cell r="P3">
            <v>14.6</v>
          </cell>
          <cell r="Q3">
            <v>14.09</v>
          </cell>
        </row>
        <row r="4">
          <cell r="A4">
            <v>3</v>
          </cell>
          <cell r="B4" t="str">
            <v>Bay</v>
          </cell>
          <cell r="C4" t="str">
            <v>substantial</v>
          </cell>
          <cell r="D4">
            <v>44301</v>
          </cell>
          <cell r="E4">
            <v>91.01</v>
          </cell>
          <cell r="F4">
            <v>34440</v>
          </cell>
          <cell r="G4">
            <v>0.19700000000000001</v>
          </cell>
          <cell r="H4">
            <v>34420</v>
          </cell>
          <cell r="I4">
            <v>0.248</v>
          </cell>
          <cell r="J4">
            <v>18553</v>
          </cell>
          <cell r="K4">
            <v>0.56999999999999995</v>
          </cell>
          <cell r="L4">
            <v>174705</v>
          </cell>
          <cell r="M4">
            <v>230.3</v>
          </cell>
          <cell r="N4">
            <v>2.57</v>
          </cell>
          <cell r="O4">
            <v>14.2</v>
          </cell>
          <cell r="P4">
            <v>14.7</v>
          </cell>
          <cell r="Q4">
            <v>18.62</v>
          </cell>
        </row>
        <row r="5">
          <cell r="A5">
            <v>4</v>
          </cell>
          <cell r="B5" t="str">
            <v>Bradford</v>
          </cell>
          <cell r="C5" t="str">
            <v>substantial</v>
          </cell>
          <cell r="D5">
            <v>44301</v>
          </cell>
          <cell r="E5">
            <v>56.74</v>
          </cell>
          <cell r="F5">
            <v>3671</v>
          </cell>
          <cell r="G5">
            <v>0.13</v>
          </cell>
          <cell r="H5">
            <v>3671</v>
          </cell>
          <cell r="I5">
            <v>0.16200000000000001</v>
          </cell>
          <cell r="J5">
            <v>2495</v>
          </cell>
          <cell r="K5">
            <v>0.49299999999999999</v>
          </cell>
          <cell r="L5">
            <v>28201</v>
          </cell>
          <cell r="M5">
            <v>95.93</v>
          </cell>
          <cell r="N5">
            <v>2.6</v>
          </cell>
          <cell r="O5">
            <v>12.4</v>
          </cell>
          <cell r="P5">
            <v>20.3</v>
          </cell>
          <cell r="Q5">
            <v>17.96</v>
          </cell>
        </row>
        <row r="6">
          <cell r="A6">
            <v>5</v>
          </cell>
          <cell r="B6" t="str">
            <v>Brevard</v>
          </cell>
          <cell r="C6" t="str">
            <v>high</v>
          </cell>
          <cell r="D6">
            <v>44301</v>
          </cell>
          <cell r="E6">
            <v>142.87</v>
          </cell>
          <cell r="F6">
            <v>130747</v>
          </cell>
          <cell r="G6">
            <v>0.217</v>
          </cell>
          <cell r="H6">
            <v>130684</v>
          </cell>
          <cell r="I6">
            <v>0.26500000000000001</v>
          </cell>
          <cell r="J6">
            <v>86241</v>
          </cell>
          <cell r="K6">
            <v>0.59199999999999997</v>
          </cell>
          <cell r="L6">
            <v>601942</v>
          </cell>
          <cell r="M6">
            <v>593.05999999999995</v>
          </cell>
          <cell r="N6">
            <v>2.4900000000000002</v>
          </cell>
          <cell r="O6">
            <v>10.8</v>
          </cell>
          <cell r="P6">
            <v>12.7</v>
          </cell>
          <cell r="Q6">
            <v>24.21</v>
          </cell>
        </row>
        <row r="7">
          <cell r="A7">
            <v>6</v>
          </cell>
          <cell r="B7" t="str">
            <v>Broward</v>
          </cell>
          <cell r="C7" t="str">
            <v>high</v>
          </cell>
          <cell r="D7">
            <v>44301</v>
          </cell>
          <cell r="E7">
            <v>285.39</v>
          </cell>
          <cell r="F7">
            <v>418314</v>
          </cell>
          <cell r="G7">
            <v>0.214</v>
          </cell>
          <cell r="H7">
            <v>417658</v>
          </cell>
          <cell r="I7">
            <v>0.27100000000000002</v>
          </cell>
          <cell r="J7">
            <v>213253</v>
          </cell>
          <cell r="K7">
            <v>0.63700000000000001</v>
          </cell>
          <cell r="L7">
            <v>1952778</v>
          </cell>
          <cell r="M7">
            <v>1623.5</v>
          </cell>
          <cell r="N7">
            <v>2.77</v>
          </cell>
          <cell r="O7">
            <v>14.6</v>
          </cell>
          <cell r="P7">
            <v>13.5</v>
          </cell>
          <cell r="Q7">
            <v>17.13</v>
          </cell>
        </row>
        <row r="8">
          <cell r="A8">
            <v>7</v>
          </cell>
          <cell r="B8" t="str">
            <v>Calhoun</v>
          </cell>
          <cell r="C8" t="str">
            <v>moderate</v>
          </cell>
          <cell r="D8">
            <v>44301</v>
          </cell>
          <cell r="E8" t="str">
            <v>suppressed</v>
          </cell>
          <cell r="F8">
            <v>1985</v>
          </cell>
          <cell r="G8">
            <v>0.14099999999999999</v>
          </cell>
          <cell r="H8">
            <v>1985</v>
          </cell>
          <cell r="I8">
            <v>0.17599999999999999</v>
          </cell>
          <cell r="J8">
            <v>1353</v>
          </cell>
          <cell r="K8">
            <v>0.50700000000000001</v>
          </cell>
          <cell r="L8">
            <v>14105</v>
          </cell>
          <cell r="M8">
            <v>24.86</v>
          </cell>
          <cell r="N8">
            <v>2.73</v>
          </cell>
          <cell r="O8">
            <v>18.3</v>
          </cell>
          <cell r="P8">
            <v>12.2</v>
          </cell>
          <cell r="Q8">
            <v>18.93</v>
          </cell>
        </row>
        <row r="9">
          <cell r="A9">
            <v>8</v>
          </cell>
          <cell r="B9" t="str">
            <v>Charlotte</v>
          </cell>
          <cell r="C9" t="str">
            <v>high</v>
          </cell>
          <cell r="D9">
            <v>44301</v>
          </cell>
          <cell r="E9">
            <v>156.69</v>
          </cell>
          <cell r="F9">
            <v>57500</v>
          </cell>
          <cell r="G9">
            <v>0.30399999999999999</v>
          </cell>
          <cell r="H9">
            <v>57476</v>
          </cell>
          <cell r="I9">
            <v>0.34499999999999997</v>
          </cell>
          <cell r="J9">
            <v>47353</v>
          </cell>
          <cell r="K9">
            <v>0.61399999999999999</v>
          </cell>
          <cell r="L9">
            <v>188910</v>
          </cell>
          <cell r="M9">
            <v>277.36</v>
          </cell>
          <cell r="N9">
            <v>2.2799999999999998</v>
          </cell>
          <cell r="O9">
            <v>11.3</v>
          </cell>
          <cell r="P9">
            <v>11.1</v>
          </cell>
          <cell r="Q9">
            <v>40.799999999999997</v>
          </cell>
        </row>
        <row r="10">
          <cell r="A10">
            <v>9</v>
          </cell>
          <cell r="B10" t="str">
            <v>Citrus</v>
          </cell>
          <cell r="C10" t="str">
            <v>substantial</v>
          </cell>
          <cell r="D10">
            <v>44301</v>
          </cell>
          <cell r="E10">
            <v>84.19</v>
          </cell>
          <cell r="F10">
            <v>38124</v>
          </cell>
          <cell r="G10">
            <v>0.255</v>
          </cell>
          <cell r="H10">
            <v>38118</v>
          </cell>
          <cell r="I10">
            <v>0.29899999999999999</v>
          </cell>
          <cell r="J10">
            <v>31679</v>
          </cell>
          <cell r="K10">
            <v>0.57699999999999996</v>
          </cell>
          <cell r="L10">
            <v>149657</v>
          </cell>
          <cell r="M10">
            <v>257.18</v>
          </cell>
          <cell r="N10">
            <v>2.2400000000000002</v>
          </cell>
          <cell r="O10">
            <v>10.4</v>
          </cell>
          <cell r="P10">
            <v>16.7</v>
          </cell>
          <cell r="Q10">
            <v>36.71</v>
          </cell>
        </row>
        <row r="11">
          <cell r="A11">
            <v>10</v>
          </cell>
          <cell r="B11" t="str">
            <v>Clay</v>
          </cell>
          <cell r="C11" t="str">
            <v>high</v>
          </cell>
          <cell r="D11">
            <v>44301</v>
          </cell>
          <cell r="E11">
            <v>104.45</v>
          </cell>
          <cell r="F11">
            <v>36364</v>
          </cell>
          <cell r="G11">
            <v>0.16600000000000001</v>
          </cell>
          <cell r="H11">
            <v>36338</v>
          </cell>
          <cell r="I11">
            <v>0.215</v>
          </cell>
          <cell r="J11">
            <v>20201</v>
          </cell>
          <cell r="K11">
            <v>0.56399999999999995</v>
          </cell>
          <cell r="L11">
            <v>219252</v>
          </cell>
          <cell r="M11">
            <v>362.63</v>
          </cell>
          <cell r="N11">
            <v>2.81</v>
          </cell>
          <cell r="O11">
            <v>10.4</v>
          </cell>
          <cell r="P11">
            <v>10.6</v>
          </cell>
          <cell r="Q11">
            <v>16.350000000000001</v>
          </cell>
        </row>
        <row r="12">
          <cell r="A12">
            <v>11</v>
          </cell>
          <cell r="B12" t="str">
            <v>Collier</v>
          </cell>
          <cell r="C12" t="str">
            <v>high</v>
          </cell>
          <cell r="D12">
            <v>44301</v>
          </cell>
          <cell r="E12">
            <v>183.94</v>
          </cell>
          <cell r="F12">
            <v>110657</v>
          </cell>
          <cell r="G12">
            <v>0.28699999999999998</v>
          </cell>
          <cell r="H12">
            <v>110625</v>
          </cell>
          <cell r="I12">
            <v>0.34599999999999997</v>
          </cell>
          <cell r="J12">
            <v>87256</v>
          </cell>
          <cell r="K12">
            <v>0.68899999999999995</v>
          </cell>
          <cell r="L12">
            <v>384902</v>
          </cell>
          <cell r="M12">
            <v>192.75</v>
          </cell>
          <cell r="N12">
            <v>2.5499999999999998</v>
          </cell>
          <cell r="O12">
            <v>16.5</v>
          </cell>
          <cell r="P12">
            <v>12.3</v>
          </cell>
          <cell r="Q12">
            <v>32.92</v>
          </cell>
        </row>
        <row r="13">
          <cell r="A13">
            <v>12</v>
          </cell>
          <cell r="B13" t="str">
            <v>Columbia</v>
          </cell>
          <cell r="C13" t="str">
            <v>substantial</v>
          </cell>
          <cell r="D13">
            <v>44301</v>
          </cell>
          <cell r="E13">
            <v>97.65</v>
          </cell>
          <cell r="F13">
            <v>11882</v>
          </cell>
          <cell r="G13">
            <v>0.16600000000000001</v>
          </cell>
          <cell r="H13">
            <v>11880</v>
          </cell>
          <cell r="I13">
            <v>0.21099999999999999</v>
          </cell>
          <cell r="J13">
            <v>7597</v>
          </cell>
          <cell r="K13">
            <v>0.55000000000000004</v>
          </cell>
          <cell r="L13">
            <v>71686</v>
          </cell>
          <cell r="M13">
            <v>89.88</v>
          </cell>
          <cell r="N13">
            <v>2.57</v>
          </cell>
          <cell r="O13">
            <v>12.4</v>
          </cell>
          <cell r="P13">
            <v>17.399999999999999</v>
          </cell>
          <cell r="Q13">
            <v>19.260000000000002</v>
          </cell>
        </row>
        <row r="14">
          <cell r="A14">
            <v>13</v>
          </cell>
          <cell r="B14" t="str">
            <v>DeSoto</v>
          </cell>
          <cell r="C14" t="str">
            <v>high</v>
          </cell>
          <cell r="D14">
            <v>44301</v>
          </cell>
          <cell r="E14">
            <v>165.79</v>
          </cell>
          <cell r="F14">
            <v>5526</v>
          </cell>
          <cell r="G14">
            <v>0.14499999999999999</v>
          </cell>
          <cell r="H14">
            <v>5526</v>
          </cell>
          <cell r="I14">
            <v>0.17899999999999999</v>
          </cell>
          <cell r="J14">
            <v>4202</v>
          </cell>
          <cell r="K14">
            <v>0.49099999999999999</v>
          </cell>
          <cell r="L14">
            <v>38001</v>
          </cell>
          <cell r="M14">
            <v>59.68</v>
          </cell>
          <cell r="N14">
            <v>2.74</v>
          </cell>
          <cell r="O14">
            <v>18.399999999999999</v>
          </cell>
          <cell r="P14">
            <v>28.5</v>
          </cell>
          <cell r="Q14">
            <v>22.52</v>
          </cell>
        </row>
        <row r="15">
          <cell r="A15">
            <v>14</v>
          </cell>
          <cell r="B15" t="str">
            <v>Dixie</v>
          </cell>
          <cell r="C15" t="str">
            <v>substantial</v>
          </cell>
          <cell r="D15">
            <v>44301</v>
          </cell>
          <cell r="E15">
            <v>65.38</v>
          </cell>
          <cell r="F15">
            <v>2346</v>
          </cell>
          <cell r="G15">
            <v>0.13900000000000001</v>
          </cell>
          <cell r="H15">
            <v>2346</v>
          </cell>
          <cell r="I15">
            <v>0.17100000000000001</v>
          </cell>
          <cell r="J15">
            <v>1832</v>
          </cell>
          <cell r="K15">
            <v>0.46</v>
          </cell>
          <cell r="L15">
            <v>16826</v>
          </cell>
          <cell r="M15">
            <v>23.86</v>
          </cell>
          <cell r="N15">
            <v>2.2799999999999998</v>
          </cell>
          <cell r="O15">
            <v>17.2</v>
          </cell>
          <cell r="P15">
            <v>23.1</v>
          </cell>
          <cell r="Q15">
            <v>23.68</v>
          </cell>
        </row>
        <row r="16">
          <cell r="A16">
            <v>15</v>
          </cell>
          <cell r="B16" t="str">
            <v>Duval</v>
          </cell>
          <cell r="C16" t="str">
            <v>high</v>
          </cell>
          <cell r="D16">
            <v>44301</v>
          </cell>
          <cell r="E16">
            <v>116.21</v>
          </cell>
          <cell r="F16">
            <v>208589</v>
          </cell>
          <cell r="G16">
            <v>0.218</v>
          </cell>
          <cell r="H16">
            <v>208409</v>
          </cell>
          <cell r="I16">
            <v>0.28100000000000003</v>
          </cell>
          <cell r="J16">
            <v>95088</v>
          </cell>
          <cell r="K16">
            <v>0.68600000000000005</v>
          </cell>
          <cell r="L16">
            <v>957755</v>
          </cell>
          <cell r="M16">
            <v>1255.8599999999999</v>
          </cell>
          <cell r="N16">
            <v>2.5499999999999998</v>
          </cell>
          <cell r="O16">
            <v>12</v>
          </cell>
          <cell r="P16">
            <v>15.5</v>
          </cell>
          <cell r="Q16">
            <v>14.47</v>
          </cell>
        </row>
        <row r="17">
          <cell r="A17">
            <v>16</v>
          </cell>
          <cell r="B17" t="str">
            <v>Escambia</v>
          </cell>
          <cell r="C17" t="str">
            <v>substantial</v>
          </cell>
          <cell r="D17">
            <v>44301</v>
          </cell>
          <cell r="E17">
            <v>75.709999999999994</v>
          </cell>
          <cell r="F17">
            <v>64308</v>
          </cell>
          <cell r="G17">
            <v>0.20200000000000001</v>
          </cell>
          <cell r="H17">
            <v>64281</v>
          </cell>
          <cell r="I17">
            <v>0.255</v>
          </cell>
          <cell r="J17">
            <v>34613</v>
          </cell>
          <cell r="K17">
            <v>0.63400000000000001</v>
          </cell>
          <cell r="L17">
            <v>318316</v>
          </cell>
          <cell r="M17">
            <v>484.52</v>
          </cell>
          <cell r="N17">
            <v>2.4700000000000002</v>
          </cell>
          <cell r="O17">
            <v>10.199999999999999</v>
          </cell>
          <cell r="P17">
            <v>13.9</v>
          </cell>
          <cell r="Q17">
            <v>17.14</v>
          </cell>
        </row>
        <row r="18">
          <cell r="A18">
            <v>17</v>
          </cell>
          <cell r="B18" t="str">
            <v>Flagler</v>
          </cell>
          <cell r="C18" t="str">
            <v>high</v>
          </cell>
          <cell r="D18">
            <v>44301</v>
          </cell>
          <cell r="E18">
            <v>118.18</v>
          </cell>
          <cell r="F18">
            <v>31766</v>
          </cell>
          <cell r="G18">
            <v>0.27600000000000002</v>
          </cell>
          <cell r="H18">
            <v>31759</v>
          </cell>
          <cell r="I18">
            <v>0.33100000000000002</v>
          </cell>
          <cell r="J18">
            <v>24065</v>
          </cell>
          <cell r="K18">
            <v>0.67</v>
          </cell>
          <cell r="L18">
            <v>115081</v>
          </cell>
          <cell r="M18">
            <v>237.21</v>
          </cell>
          <cell r="N18">
            <v>2.62</v>
          </cell>
          <cell r="O18">
            <v>12.7</v>
          </cell>
          <cell r="P18">
            <v>11.9</v>
          </cell>
          <cell r="Q18">
            <v>31.19</v>
          </cell>
        </row>
        <row r="19">
          <cell r="A19">
            <v>18</v>
          </cell>
          <cell r="B19" t="str">
            <v>Franklin</v>
          </cell>
          <cell r="C19" t="str">
            <v>high</v>
          </cell>
          <cell r="D19">
            <v>44301</v>
          </cell>
          <cell r="E19" t="str">
            <v>suppressed</v>
          </cell>
          <cell r="F19">
            <v>2854</v>
          </cell>
          <cell r="G19">
            <v>0.23499999999999999</v>
          </cell>
          <cell r="H19">
            <v>2854</v>
          </cell>
          <cell r="I19">
            <v>0.27800000000000002</v>
          </cell>
          <cell r="J19">
            <v>2038</v>
          </cell>
          <cell r="K19">
            <v>0.69699999999999995</v>
          </cell>
          <cell r="L19">
            <v>12125</v>
          </cell>
          <cell r="M19">
            <v>22.24</v>
          </cell>
          <cell r="N19">
            <v>2.35</v>
          </cell>
          <cell r="O19">
            <v>18.3</v>
          </cell>
          <cell r="P19">
            <v>20.7</v>
          </cell>
          <cell r="Q19">
            <v>24.13</v>
          </cell>
        </row>
        <row r="20">
          <cell r="A20">
            <v>19</v>
          </cell>
          <cell r="B20" t="str">
            <v>Gadsden</v>
          </cell>
          <cell r="C20" t="str">
            <v>substantial</v>
          </cell>
          <cell r="D20">
            <v>44301</v>
          </cell>
          <cell r="E20">
            <v>61.32</v>
          </cell>
          <cell r="F20">
            <v>10729</v>
          </cell>
          <cell r="G20">
            <v>0.23499999999999999</v>
          </cell>
          <cell r="H20">
            <v>10723</v>
          </cell>
          <cell r="I20">
            <v>0.29899999999999999</v>
          </cell>
          <cell r="J20">
            <v>5800</v>
          </cell>
          <cell r="K20">
            <v>0.67900000000000005</v>
          </cell>
          <cell r="L20">
            <v>45660</v>
          </cell>
          <cell r="M20">
            <v>88.44</v>
          </cell>
          <cell r="N20">
            <v>2.4700000000000002</v>
          </cell>
          <cell r="O20">
            <v>14.9</v>
          </cell>
          <cell r="P20">
            <v>24.6</v>
          </cell>
          <cell r="Q20">
            <v>18.7</v>
          </cell>
        </row>
        <row r="21">
          <cell r="A21">
            <v>20</v>
          </cell>
          <cell r="B21" t="str">
            <v>Gilchrist</v>
          </cell>
          <cell r="C21" t="str">
            <v>high</v>
          </cell>
          <cell r="D21">
            <v>44301</v>
          </cell>
          <cell r="E21">
            <v>161.44999999999999</v>
          </cell>
          <cell r="F21">
            <v>2615</v>
          </cell>
          <cell r="G21">
            <v>0.14099999999999999</v>
          </cell>
          <cell r="H21">
            <v>2613</v>
          </cell>
          <cell r="I21">
            <v>0.17599999999999999</v>
          </cell>
          <cell r="J21">
            <v>1794</v>
          </cell>
          <cell r="K21">
            <v>0.46700000000000003</v>
          </cell>
          <cell r="L21">
            <v>18582</v>
          </cell>
          <cell r="M21">
            <v>53.14</v>
          </cell>
          <cell r="N21">
            <v>2.5</v>
          </cell>
          <cell r="O21">
            <v>18.100000000000001</v>
          </cell>
          <cell r="P21">
            <v>17.899999999999999</v>
          </cell>
          <cell r="Q21">
            <v>20.65</v>
          </cell>
        </row>
        <row r="22">
          <cell r="A22">
            <v>21</v>
          </cell>
          <cell r="B22" t="str">
            <v>Glades</v>
          </cell>
          <cell r="C22" t="str">
            <v>moderate</v>
          </cell>
          <cell r="D22">
            <v>44301</v>
          </cell>
          <cell r="E22" t="str">
            <v>suppressed</v>
          </cell>
          <cell r="F22">
            <v>1739</v>
          </cell>
          <cell r="G22">
            <v>0.126</v>
          </cell>
          <cell r="H22">
            <v>1739</v>
          </cell>
          <cell r="I22">
            <v>0.14699999999999999</v>
          </cell>
          <cell r="J22">
            <v>1317</v>
          </cell>
          <cell r="K22">
            <v>0.34599999999999997</v>
          </cell>
          <cell r="L22">
            <v>13811</v>
          </cell>
          <cell r="M22">
            <v>17.12</v>
          </cell>
          <cell r="N22">
            <v>2.71</v>
          </cell>
          <cell r="O22">
            <v>19.899999999999999</v>
          </cell>
          <cell r="P22">
            <v>17</v>
          </cell>
          <cell r="Q22">
            <v>27.57</v>
          </cell>
        </row>
        <row r="23">
          <cell r="A23">
            <v>22</v>
          </cell>
          <cell r="B23" t="str">
            <v>Gulf</v>
          </cell>
          <cell r="C23" t="str">
            <v>moderate</v>
          </cell>
          <cell r="D23">
            <v>44301</v>
          </cell>
          <cell r="E23" t="str">
            <v>suppressed</v>
          </cell>
          <cell r="F23">
            <v>2979</v>
          </cell>
          <cell r="G23">
            <v>0.218</v>
          </cell>
          <cell r="H23">
            <v>2979</v>
          </cell>
          <cell r="I23">
            <v>0.26700000000000002</v>
          </cell>
          <cell r="J23">
            <v>2255</v>
          </cell>
          <cell r="K23">
            <v>0.624</v>
          </cell>
          <cell r="L23">
            <v>13639</v>
          </cell>
          <cell r="M23">
            <v>24.64</v>
          </cell>
          <cell r="N23">
            <v>2.5499999999999998</v>
          </cell>
          <cell r="O23">
            <v>11.4</v>
          </cell>
          <cell r="P23">
            <v>13.9</v>
          </cell>
          <cell r="Q23">
            <v>26.5</v>
          </cell>
        </row>
        <row r="24">
          <cell r="A24">
            <v>23</v>
          </cell>
          <cell r="B24" t="str">
            <v>Hamilton</v>
          </cell>
          <cell r="C24" t="str">
            <v>substantial</v>
          </cell>
          <cell r="D24">
            <v>44301</v>
          </cell>
          <cell r="E24" t="str">
            <v>suppressed</v>
          </cell>
          <cell r="F24">
            <v>2046</v>
          </cell>
          <cell r="G24">
            <v>0.14199999999999999</v>
          </cell>
          <cell r="H24">
            <v>2046</v>
          </cell>
          <cell r="I24">
            <v>0.17499999999999999</v>
          </cell>
          <cell r="J24">
            <v>1461</v>
          </cell>
          <cell r="K24">
            <v>0.54800000000000004</v>
          </cell>
          <cell r="L24">
            <v>14428</v>
          </cell>
          <cell r="M24">
            <v>28.08</v>
          </cell>
          <cell r="N24">
            <v>2.44</v>
          </cell>
          <cell r="O24">
            <v>14.3</v>
          </cell>
          <cell r="P24">
            <v>29.5</v>
          </cell>
          <cell r="Q24">
            <v>18.46</v>
          </cell>
        </row>
        <row r="25">
          <cell r="A25">
            <v>24</v>
          </cell>
          <cell r="B25" t="str">
            <v>Hardee</v>
          </cell>
          <cell r="C25" t="str">
            <v>high</v>
          </cell>
          <cell r="D25">
            <v>44301</v>
          </cell>
          <cell r="E25">
            <v>167.06</v>
          </cell>
          <cell r="F25">
            <v>2899</v>
          </cell>
          <cell r="G25">
            <v>0.108</v>
          </cell>
          <cell r="H25">
            <v>2899</v>
          </cell>
          <cell r="I25">
            <v>0.14399999999999999</v>
          </cell>
          <cell r="J25">
            <v>2274</v>
          </cell>
          <cell r="K25">
            <v>0.48399999999999999</v>
          </cell>
          <cell r="L25">
            <v>26937</v>
          </cell>
          <cell r="M25">
            <v>42.25</v>
          </cell>
          <cell r="N25">
            <v>3.22</v>
          </cell>
          <cell r="O25">
            <v>12.2</v>
          </cell>
          <cell r="P25">
            <v>26.7</v>
          </cell>
          <cell r="Q25">
            <v>17.43</v>
          </cell>
        </row>
        <row r="26">
          <cell r="A26">
            <v>25</v>
          </cell>
          <cell r="B26" t="str">
            <v>Hendry</v>
          </cell>
          <cell r="C26" t="str">
            <v>high</v>
          </cell>
          <cell r="D26">
            <v>44301</v>
          </cell>
          <cell r="E26">
            <v>142.78</v>
          </cell>
          <cell r="F26">
            <v>5661</v>
          </cell>
          <cell r="G26">
            <v>0.13500000000000001</v>
          </cell>
          <cell r="H26">
            <v>5658</v>
          </cell>
          <cell r="I26">
            <v>0.184</v>
          </cell>
          <cell r="J26">
            <v>3433</v>
          </cell>
          <cell r="K26">
            <v>0.59399999999999997</v>
          </cell>
          <cell r="L26">
            <v>42022</v>
          </cell>
          <cell r="M26">
            <v>36.340000000000003</v>
          </cell>
          <cell r="N26">
            <v>3.17</v>
          </cell>
          <cell r="O26">
            <v>26.2</v>
          </cell>
          <cell r="P26">
            <v>26.8</v>
          </cell>
          <cell r="Q26">
            <v>13.75</v>
          </cell>
        </row>
        <row r="27">
          <cell r="A27">
            <v>26</v>
          </cell>
          <cell r="B27" t="str">
            <v>Hernando</v>
          </cell>
          <cell r="C27" t="str">
            <v>high</v>
          </cell>
          <cell r="D27">
            <v>44301</v>
          </cell>
          <cell r="E27">
            <v>135.62</v>
          </cell>
          <cell r="F27">
            <v>40395</v>
          </cell>
          <cell r="G27">
            <v>0.20799999999999999</v>
          </cell>
          <cell r="H27">
            <v>40378</v>
          </cell>
          <cell r="I27">
            <v>0.255</v>
          </cell>
          <cell r="J27">
            <v>29924</v>
          </cell>
          <cell r="K27">
            <v>0.56100000000000005</v>
          </cell>
          <cell r="L27">
            <v>193920</v>
          </cell>
          <cell r="M27">
            <v>410.01</v>
          </cell>
          <cell r="N27">
            <v>2.46</v>
          </cell>
          <cell r="O27">
            <v>12.6</v>
          </cell>
          <cell r="P27">
            <v>14.3</v>
          </cell>
          <cell r="Q27">
            <v>27.51</v>
          </cell>
        </row>
        <row r="28">
          <cell r="A28">
            <v>27</v>
          </cell>
          <cell r="B28" t="str">
            <v>Highlands</v>
          </cell>
          <cell r="C28" t="str">
            <v>high</v>
          </cell>
          <cell r="D28">
            <v>44301</v>
          </cell>
          <cell r="E28">
            <v>155.34</v>
          </cell>
          <cell r="F28">
            <v>23011</v>
          </cell>
          <cell r="G28">
            <v>0.217</v>
          </cell>
          <cell r="H28">
            <v>23010</v>
          </cell>
          <cell r="I28">
            <v>0.26</v>
          </cell>
          <cell r="J28">
            <v>18864</v>
          </cell>
          <cell r="K28">
            <v>0.49299999999999999</v>
          </cell>
          <cell r="L28">
            <v>106221</v>
          </cell>
          <cell r="M28">
            <v>104.38</v>
          </cell>
          <cell r="N28">
            <v>2.44</v>
          </cell>
          <cell r="O28">
            <v>12.7</v>
          </cell>
          <cell r="P28">
            <v>19.2</v>
          </cell>
          <cell r="Q28">
            <v>36.049999999999997</v>
          </cell>
        </row>
        <row r="29">
          <cell r="A29">
            <v>28</v>
          </cell>
          <cell r="B29" t="str">
            <v>Hillsborough</v>
          </cell>
          <cell r="C29" t="str">
            <v>high</v>
          </cell>
          <cell r="D29">
            <v>44301</v>
          </cell>
          <cell r="E29">
            <v>219.09</v>
          </cell>
          <cell r="F29">
            <v>282935</v>
          </cell>
          <cell r="G29">
            <v>0.192</v>
          </cell>
          <cell r="H29">
            <v>282713</v>
          </cell>
          <cell r="I29">
            <v>0.247</v>
          </cell>
          <cell r="J29">
            <v>125203</v>
          </cell>
          <cell r="K29">
            <v>0.58499999999999996</v>
          </cell>
          <cell r="L29">
            <v>1471968</v>
          </cell>
          <cell r="M29">
            <v>1440.39</v>
          </cell>
          <cell r="N29">
            <v>2.63</v>
          </cell>
          <cell r="O29">
            <v>13</v>
          </cell>
          <cell r="P29">
            <v>15.3</v>
          </cell>
          <cell r="Q29">
            <v>14.54</v>
          </cell>
        </row>
        <row r="30">
          <cell r="A30">
            <v>29</v>
          </cell>
          <cell r="B30" t="str">
            <v>Holmes</v>
          </cell>
          <cell r="C30" t="str">
            <v>moderate</v>
          </cell>
          <cell r="D30">
            <v>44301</v>
          </cell>
          <cell r="E30" t="str">
            <v>suppressed</v>
          </cell>
          <cell r="F30">
            <v>2467</v>
          </cell>
          <cell r="G30">
            <v>0.126</v>
          </cell>
          <cell r="H30">
            <v>2466</v>
          </cell>
          <cell r="I30">
            <v>0.158</v>
          </cell>
          <cell r="J30">
            <v>1685</v>
          </cell>
          <cell r="K30">
            <v>0.43</v>
          </cell>
          <cell r="L30">
            <v>19617</v>
          </cell>
          <cell r="M30">
            <v>40.97</v>
          </cell>
          <cell r="N30">
            <v>2.5099999999999998</v>
          </cell>
          <cell r="O30">
            <v>18.899999999999999</v>
          </cell>
          <cell r="P30">
            <v>25.6</v>
          </cell>
          <cell r="Q30">
            <v>19.989999999999998</v>
          </cell>
        </row>
        <row r="31">
          <cell r="A31">
            <v>30</v>
          </cell>
          <cell r="B31" t="str">
            <v>Indian River</v>
          </cell>
          <cell r="C31" t="str">
            <v>high</v>
          </cell>
          <cell r="D31">
            <v>44301</v>
          </cell>
          <cell r="E31">
            <v>116.31</v>
          </cell>
          <cell r="F31">
            <v>44938</v>
          </cell>
          <cell r="G31">
            <v>0.28100000000000003</v>
          </cell>
          <cell r="H31">
            <v>44924</v>
          </cell>
          <cell r="I31">
            <v>0.33300000000000002</v>
          </cell>
          <cell r="J31">
            <v>35711</v>
          </cell>
          <cell r="K31">
            <v>0.66</v>
          </cell>
          <cell r="L31">
            <v>159923</v>
          </cell>
          <cell r="M31">
            <v>318.08</v>
          </cell>
          <cell r="N31">
            <v>2.6</v>
          </cell>
          <cell r="O31">
            <v>12.1</v>
          </cell>
          <cell r="P31">
            <v>12.2</v>
          </cell>
          <cell r="Q31">
            <v>33.85</v>
          </cell>
        </row>
        <row r="32">
          <cell r="A32">
            <v>31</v>
          </cell>
          <cell r="B32" t="str">
            <v>Jackson</v>
          </cell>
          <cell r="C32" t="str">
            <v>moderate</v>
          </cell>
          <cell r="D32">
            <v>44301</v>
          </cell>
          <cell r="E32">
            <v>34.47</v>
          </cell>
          <cell r="F32">
            <v>8285</v>
          </cell>
          <cell r="G32">
            <v>0.17899999999999999</v>
          </cell>
          <cell r="H32">
            <v>8284</v>
          </cell>
          <cell r="I32">
            <v>0.22</v>
          </cell>
          <cell r="J32">
            <v>5075</v>
          </cell>
          <cell r="K32">
            <v>0.53</v>
          </cell>
          <cell r="L32">
            <v>46414</v>
          </cell>
          <cell r="M32">
            <v>50.55</v>
          </cell>
          <cell r="N32">
            <v>2.4</v>
          </cell>
          <cell r="O32">
            <v>11.3</v>
          </cell>
          <cell r="P32">
            <v>20.6</v>
          </cell>
          <cell r="Q32">
            <v>20.62</v>
          </cell>
        </row>
        <row r="33">
          <cell r="A33">
            <v>32</v>
          </cell>
          <cell r="B33" t="str">
            <v>Jefferson</v>
          </cell>
          <cell r="C33" t="str">
            <v>substantial</v>
          </cell>
          <cell r="D33">
            <v>44301</v>
          </cell>
          <cell r="E33" t="str">
            <v>suppressed</v>
          </cell>
          <cell r="F33">
            <v>4221</v>
          </cell>
          <cell r="G33">
            <v>0.29599999999999999</v>
          </cell>
          <cell r="H33">
            <v>4221</v>
          </cell>
          <cell r="I33">
            <v>0.35499999999999998</v>
          </cell>
          <cell r="J33">
            <v>3147</v>
          </cell>
          <cell r="K33">
            <v>0.89600000000000002</v>
          </cell>
          <cell r="L33">
            <v>14246</v>
          </cell>
          <cell r="M33">
            <v>23.82</v>
          </cell>
          <cell r="N33">
            <v>2.04</v>
          </cell>
          <cell r="O33">
            <v>6.4</v>
          </cell>
          <cell r="P33">
            <v>14.1</v>
          </cell>
          <cell r="Q33">
            <v>24.65</v>
          </cell>
        </row>
        <row r="34">
          <cell r="A34">
            <v>33</v>
          </cell>
          <cell r="B34" t="str">
            <v>Lafayette</v>
          </cell>
          <cell r="C34" t="str">
            <v>moderate</v>
          </cell>
          <cell r="D34">
            <v>44301</v>
          </cell>
          <cell r="E34" t="str">
            <v>suppressed</v>
          </cell>
          <cell r="F34">
            <v>1278</v>
          </cell>
          <cell r="G34">
            <v>0.152</v>
          </cell>
          <cell r="H34">
            <v>1278</v>
          </cell>
          <cell r="I34">
            <v>0.19</v>
          </cell>
          <cell r="J34">
            <v>1056</v>
          </cell>
          <cell r="K34">
            <v>0.72599999999999998</v>
          </cell>
          <cell r="L34">
            <v>8422</v>
          </cell>
          <cell r="M34">
            <v>15.5</v>
          </cell>
          <cell r="N34">
            <v>3.43</v>
          </cell>
          <cell r="O34">
            <v>17.600000000000001</v>
          </cell>
          <cell r="P34">
            <v>20.100000000000001</v>
          </cell>
          <cell r="Q34">
            <v>17.28</v>
          </cell>
        </row>
        <row r="35">
          <cell r="A35">
            <v>34</v>
          </cell>
          <cell r="B35" t="str">
            <v>Lake</v>
          </cell>
          <cell r="C35" t="str">
            <v>high</v>
          </cell>
          <cell r="D35">
            <v>44301</v>
          </cell>
          <cell r="E35">
            <v>187.95</v>
          </cell>
          <cell r="F35">
            <v>97279</v>
          </cell>
          <cell r="G35">
            <v>0.26500000000000001</v>
          </cell>
          <cell r="H35">
            <v>97197</v>
          </cell>
          <cell r="I35">
            <v>0.32600000000000001</v>
          </cell>
          <cell r="J35">
            <v>72161</v>
          </cell>
          <cell r="K35">
            <v>0.72599999999999998</v>
          </cell>
          <cell r="L35">
            <v>367118</v>
          </cell>
          <cell r="M35">
            <v>386.13</v>
          </cell>
          <cell r="N35">
            <v>2.5499999999999998</v>
          </cell>
          <cell r="O35">
            <v>11.6</v>
          </cell>
          <cell r="P35">
            <v>12.5</v>
          </cell>
          <cell r="Q35">
            <v>27.07</v>
          </cell>
        </row>
        <row r="36">
          <cell r="A36">
            <v>35</v>
          </cell>
          <cell r="B36" t="str">
            <v>Lee</v>
          </cell>
          <cell r="C36" t="str">
            <v>high</v>
          </cell>
          <cell r="D36">
            <v>44301</v>
          </cell>
          <cell r="E36">
            <v>200.24</v>
          </cell>
          <cell r="F36">
            <v>172101</v>
          </cell>
          <cell r="G36">
            <v>0.223</v>
          </cell>
          <cell r="H36">
            <v>172071</v>
          </cell>
          <cell r="I36">
            <v>0.27</v>
          </cell>
          <cell r="J36">
            <v>133394</v>
          </cell>
          <cell r="K36">
            <v>0.59399999999999997</v>
          </cell>
          <cell r="L36">
            <v>770577</v>
          </cell>
          <cell r="M36">
            <v>986.08</v>
          </cell>
          <cell r="N36">
            <v>2.61</v>
          </cell>
          <cell r="O36">
            <v>14.3</v>
          </cell>
          <cell r="P36">
            <v>14</v>
          </cell>
          <cell r="Q36">
            <v>29.15</v>
          </cell>
        </row>
        <row r="37">
          <cell r="A37">
            <v>36</v>
          </cell>
          <cell r="B37" t="str">
            <v>Leon</v>
          </cell>
          <cell r="C37" t="str">
            <v>substantial</v>
          </cell>
          <cell r="D37">
            <v>44301</v>
          </cell>
          <cell r="E37">
            <v>92.99</v>
          </cell>
          <cell r="F37">
            <v>63634</v>
          </cell>
          <cell r="G37">
            <v>0.217</v>
          </cell>
          <cell r="H37">
            <v>63565</v>
          </cell>
          <cell r="I37">
            <v>0.26600000000000001</v>
          </cell>
          <cell r="J37">
            <v>31244</v>
          </cell>
          <cell r="K37">
            <v>0.76600000000000001</v>
          </cell>
          <cell r="L37">
            <v>293582</v>
          </cell>
          <cell r="M37">
            <v>440.23</v>
          </cell>
          <cell r="N37">
            <v>2.4300000000000002</v>
          </cell>
          <cell r="O37">
            <v>8.1999999999999993</v>
          </cell>
          <cell r="P37">
            <v>20.399999999999999</v>
          </cell>
          <cell r="Q37">
            <v>13.89</v>
          </cell>
        </row>
        <row r="38">
          <cell r="A38">
            <v>37</v>
          </cell>
          <cell r="B38" t="str">
            <v>Levy</v>
          </cell>
          <cell r="C38" t="str">
            <v>high</v>
          </cell>
          <cell r="D38">
            <v>44301</v>
          </cell>
          <cell r="E38">
            <v>163.84</v>
          </cell>
          <cell r="F38">
            <v>7105</v>
          </cell>
          <cell r="G38">
            <v>0.17100000000000001</v>
          </cell>
          <cell r="H38">
            <v>7102</v>
          </cell>
          <cell r="I38">
            <v>0.21199999999999999</v>
          </cell>
          <cell r="J38">
            <v>5173</v>
          </cell>
          <cell r="K38">
            <v>0.496</v>
          </cell>
          <cell r="L38">
            <v>41503</v>
          </cell>
          <cell r="M38">
            <v>37.119999999999997</v>
          </cell>
          <cell r="N38">
            <v>2.41</v>
          </cell>
          <cell r="O38">
            <v>15.5</v>
          </cell>
          <cell r="P38">
            <v>20.7</v>
          </cell>
          <cell r="Q38">
            <v>25.15</v>
          </cell>
        </row>
        <row r="39">
          <cell r="A39">
            <v>38</v>
          </cell>
          <cell r="B39" t="str">
            <v>Liberty</v>
          </cell>
          <cell r="C39" t="str">
            <v>substantial</v>
          </cell>
          <cell r="D39">
            <v>44301</v>
          </cell>
          <cell r="E39" t="str">
            <v>suppressed</v>
          </cell>
          <cell r="F39">
            <v>1102</v>
          </cell>
          <cell r="G39">
            <v>0.13200000000000001</v>
          </cell>
          <cell r="H39">
            <v>1102</v>
          </cell>
          <cell r="I39">
            <v>0.16</v>
          </cell>
          <cell r="J39">
            <v>686</v>
          </cell>
          <cell r="K39">
            <v>0.54600000000000004</v>
          </cell>
          <cell r="L39">
            <v>8354</v>
          </cell>
          <cell r="M39">
            <v>10</v>
          </cell>
          <cell r="N39">
            <v>2.9</v>
          </cell>
          <cell r="O39">
            <v>18.5</v>
          </cell>
          <cell r="P39">
            <v>13</v>
          </cell>
          <cell r="Q39">
            <v>15.04</v>
          </cell>
        </row>
        <row r="40">
          <cell r="A40">
            <v>39</v>
          </cell>
          <cell r="B40" t="str">
            <v>Madison</v>
          </cell>
          <cell r="C40" t="str">
            <v>moderate</v>
          </cell>
          <cell r="D40">
            <v>44301</v>
          </cell>
          <cell r="E40" t="str">
            <v>suppressed</v>
          </cell>
          <cell r="F40">
            <v>3566</v>
          </cell>
          <cell r="G40">
            <v>0.193</v>
          </cell>
          <cell r="H40">
            <v>3565</v>
          </cell>
          <cell r="I40">
            <v>0.23599999999999999</v>
          </cell>
          <cell r="J40">
            <v>2375</v>
          </cell>
          <cell r="K40">
            <v>0.60899999999999999</v>
          </cell>
          <cell r="L40">
            <v>18493</v>
          </cell>
          <cell r="M40">
            <v>26.55</v>
          </cell>
          <cell r="N40">
            <v>2.4500000000000002</v>
          </cell>
          <cell r="O40">
            <v>13.1</v>
          </cell>
          <cell r="P40">
            <v>28.2</v>
          </cell>
          <cell r="Q40">
            <v>21.1</v>
          </cell>
        </row>
        <row r="41">
          <cell r="A41">
            <v>40</v>
          </cell>
          <cell r="B41" t="str">
            <v>Manatee</v>
          </cell>
          <cell r="C41" t="str">
            <v>high</v>
          </cell>
          <cell r="D41">
            <v>44301</v>
          </cell>
          <cell r="E41">
            <v>194.42</v>
          </cell>
          <cell r="F41">
            <v>92375</v>
          </cell>
          <cell r="G41">
            <v>0.22900000000000001</v>
          </cell>
          <cell r="H41">
            <v>92359</v>
          </cell>
          <cell r="I41">
            <v>0.27900000000000003</v>
          </cell>
          <cell r="J41">
            <v>68938</v>
          </cell>
          <cell r="K41">
            <v>0.60899999999999999</v>
          </cell>
          <cell r="L41">
            <v>403253</v>
          </cell>
          <cell r="M41">
            <v>542.28</v>
          </cell>
          <cell r="N41">
            <v>2.57</v>
          </cell>
          <cell r="O41">
            <v>12.7</v>
          </cell>
          <cell r="P41">
            <v>12.5</v>
          </cell>
          <cell r="Q41">
            <v>28.06</v>
          </cell>
        </row>
        <row r="42">
          <cell r="A42">
            <v>41</v>
          </cell>
          <cell r="B42" t="str">
            <v>Marion</v>
          </cell>
          <cell r="C42" t="str">
            <v>substantial</v>
          </cell>
          <cell r="D42">
            <v>44301</v>
          </cell>
          <cell r="E42">
            <v>92.18</v>
          </cell>
          <cell r="F42">
            <v>82719</v>
          </cell>
          <cell r="G42">
            <v>0.22600000000000001</v>
          </cell>
          <cell r="H42">
            <v>82703</v>
          </cell>
          <cell r="I42">
            <v>0.27700000000000002</v>
          </cell>
          <cell r="J42">
            <v>62804</v>
          </cell>
          <cell r="K42">
            <v>0.58899999999999997</v>
          </cell>
          <cell r="L42">
            <v>365579</v>
          </cell>
          <cell r="M42">
            <v>230.15</v>
          </cell>
          <cell r="N42">
            <v>2.48</v>
          </cell>
          <cell r="O42">
            <v>12.3</v>
          </cell>
          <cell r="P42">
            <v>16.600000000000001</v>
          </cell>
          <cell r="Q42">
            <v>29.18</v>
          </cell>
        </row>
        <row r="43">
          <cell r="A43">
            <v>42</v>
          </cell>
          <cell r="B43" t="str">
            <v>Martin</v>
          </cell>
          <cell r="C43" t="str">
            <v>high</v>
          </cell>
          <cell r="D43">
            <v>44301</v>
          </cell>
          <cell r="E43">
            <v>130.43</v>
          </cell>
          <cell r="F43">
            <v>45386</v>
          </cell>
          <cell r="G43">
            <v>0.28199999999999997</v>
          </cell>
          <cell r="H43">
            <v>45372</v>
          </cell>
          <cell r="I43">
            <v>0.33600000000000002</v>
          </cell>
          <cell r="J43">
            <v>35575</v>
          </cell>
          <cell r="K43">
            <v>0.70099999999999996</v>
          </cell>
          <cell r="L43">
            <v>161000</v>
          </cell>
          <cell r="M43">
            <v>296.05</v>
          </cell>
          <cell r="N43">
            <v>2.41</v>
          </cell>
          <cell r="O43">
            <v>11.5</v>
          </cell>
          <cell r="P43">
            <v>10.5</v>
          </cell>
          <cell r="Q43">
            <v>31.53</v>
          </cell>
        </row>
        <row r="44">
          <cell r="A44">
            <v>43</v>
          </cell>
          <cell r="B44" t="str">
            <v>Miami-Dade</v>
          </cell>
          <cell r="C44" t="str">
            <v>high</v>
          </cell>
          <cell r="D44">
            <v>44301</v>
          </cell>
          <cell r="E44">
            <v>368.8</v>
          </cell>
          <cell r="F44">
            <v>622886</v>
          </cell>
          <cell r="G44">
            <v>0.22900000000000001</v>
          </cell>
          <cell r="H44">
            <v>621713</v>
          </cell>
          <cell r="I44">
            <v>0.28699999999999998</v>
          </cell>
          <cell r="J44">
            <v>288271</v>
          </cell>
          <cell r="K44">
            <v>0.63700000000000001</v>
          </cell>
          <cell r="L44">
            <v>2716940</v>
          </cell>
          <cell r="M44">
            <v>1430.09</v>
          </cell>
          <cell r="N44">
            <v>3.07</v>
          </cell>
          <cell r="O44">
            <v>18.100000000000001</v>
          </cell>
          <cell r="P44">
            <v>18</v>
          </cell>
          <cell r="Q44">
            <v>16.66</v>
          </cell>
        </row>
        <row r="45">
          <cell r="A45">
            <v>44</v>
          </cell>
          <cell r="B45" t="str">
            <v>Monroe</v>
          </cell>
          <cell r="C45" t="str">
            <v>high</v>
          </cell>
          <cell r="D45">
            <v>44301</v>
          </cell>
          <cell r="E45">
            <v>173.79</v>
          </cell>
          <cell r="F45">
            <v>19740</v>
          </cell>
          <cell r="G45">
            <v>0.26600000000000001</v>
          </cell>
          <cell r="H45">
            <v>19735</v>
          </cell>
          <cell r="I45">
            <v>0.313</v>
          </cell>
          <cell r="J45">
            <v>12855</v>
          </cell>
          <cell r="K45">
            <v>0.72899999999999998</v>
          </cell>
          <cell r="L45">
            <v>74228</v>
          </cell>
          <cell r="M45">
            <v>75.510000000000005</v>
          </cell>
          <cell r="N45">
            <v>2.39</v>
          </cell>
          <cell r="O45">
            <v>17.8</v>
          </cell>
          <cell r="P45">
            <v>11.8</v>
          </cell>
          <cell r="Q45">
            <v>23.75</v>
          </cell>
        </row>
        <row r="46">
          <cell r="A46">
            <v>45</v>
          </cell>
          <cell r="B46" t="str">
            <v>Nassau</v>
          </cell>
          <cell r="C46" t="str">
            <v>moderate</v>
          </cell>
          <cell r="D46">
            <v>44301</v>
          </cell>
          <cell r="E46">
            <v>47.39</v>
          </cell>
          <cell r="F46">
            <v>23749</v>
          </cell>
          <cell r="G46">
            <v>0.26800000000000002</v>
          </cell>
          <cell r="H46">
            <v>23737</v>
          </cell>
          <cell r="I46">
            <v>0.33400000000000002</v>
          </cell>
          <cell r="J46">
            <v>15433</v>
          </cell>
          <cell r="K46">
            <v>0.76300000000000001</v>
          </cell>
          <cell r="L46">
            <v>88625</v>
          </cell>
          <cell r="M46">
            <v>136.62</v>
          </cell>
          <cell r="N46">
            <v>2.5499999999999998</v>
          </cell>
          <cell r="O46">
            <v>11</v>
          </cell>
          <cell r="P46">
            <v>10.199999999999999</v>
          </cell>
          <cell r="Q46">
            <v>22.83</v>
          </cell>
        </row>
        <row r="47">
          <cell r="A47">
            <v>46</v>
          </cell>
          <cell r="B47" t="str">
            <v>Okaloosa</v>
          </cell>
          <cell r="C47" t="str">
            <v>substantial</v>
          </cell>
          <cell r="D47">
            <v>44301</v>
          </cell>
          <cell r="E47">
            <v>78.3</v>
          </cell>
          <cell r="F47">
            <v>42341</v>
          </cell>
          <cell r="G47">
            <v>0.20100000000000001</v>
          </cell>
          <cell r="H47">
            <v>42322</v>
          </cell>
          <cell r="I47">
            <v>0.25800000000000001</v>
          </cell>
          <cell r="J47">
            <v>23952</v>
          </cell>
          <cell r="K47">
            <v>0.69699999999999995</v>
          </cell>
          <cell r="L47">
            <v>210738</v>
          </cell>
          <cell r="M47">
            <v>226.55</v>
          </cell>
          <cell r="N47">
            <v>2.52</v>
          </cell>
          <cell r="O47">
            <v>12.2</v>
          </cell>
          <cell r="P47">
            <v>11.5</v>
          </cell>
          <cell r="Q47">
            <v>16.309999999999999</v>
          </cell>
        </row>
        <row r="48">
          <cell r="A48">
            <v>47</v>
          </cell>
          <cell r="B48" t="str">
            <v>Okeechobee</v>
          </cell>
          <cell r="C48" t="str">
            <v>high</v>
          </cell>
          <cell r="D48">
            <v>44301</v>
          </cell>
          <cell r="E48">
            <v>149.4</v>
          </cell>
          <cell r="F48">
            <v>6484</v>
          </cell>
          <cell r="G48">
            <v>0.154</v>
          </cell>
          <cell r="H48">
            <v>6482</v>
          </cell>
          <cell r="I48">
            <v>0.19500000000000001</v>
          </cell>
          <cell r="J48">
            <v>5129</v>
          </cell>
          <cell r="K48">
            <v>0.60499999999999998</v>
          </cell>
          <cell r="L48">
            <v>42168</v>
          </cell>
          <cell r="M48">
            <v>54.82</v>
          </cell>
          <cell r="N48">
            <v>2.73</v>
          </cell>
          <cell r="O48">
            <v>18.100000000000001</v>
          </cell>
          <cell r="P48">
            <v>22.7</v>
          </cell>
          <cell r="Q48">
            <v>20.12</v>
          </cell>
        </row>
        <row r="49">
          <cell r="A49">
            <v>48</v>
          </cell>
          <cell r="B49" t="str">
            <v>Orange</v>
          </cell>
          <cell r="C49" t="str">
            <v>high</v>
          </cell>
          <cell r="D49">
            <v>44301</v>
          </cell>
          <cell r="E49">
            <v>238.4</v>
          </cell>
          <cell r="F49">
            <v>272935</v>
          </cell>
          <cell r="G49">
            <v>0.19600000000000001</v>
          </cell>
          <cell r="H49">
            <v>272336</v>
          </cell>
          <cell r="I49">
            <v>0.25</v>
          </cell>
          <cell r="J49">
            <v>113184</v>
          </cell>
          <cell r="K49">
            <v>0.66</v>
          </cell>
          <cell r="L49">
            <v>1393452</v>
          </cell>
          <cell r="M49">
            <v>1545.08</v>
          </cell>
          <cell r="N49">
            <v>2.81</v>
          </cell>
          <cell r="O49">
            <v>14.5</v>
          </cell>
          <cell r="P49">
            <v>16.100000000000001</v>
          </cell>
          <cell r="Q49">
            <v>12.31</v>
          </cell>
        </row>
        <row r="50">
          <cell r="A50">
            <v>49</v>
          </cell>
          <cell r="B50" t="str">
            <v>Osceola</v>
          </cell>
          <cell r="C50" t="str">
            <v>high</v>
          </cell>
          <cell r="D50">
            <v>44301</v>
          </cell>
          <cell r="E50">
            <v>286.36</v>
          </cell>
          <cell r="F50">
            <v>64804</v>
          </cell>
          <cell r="G50">
            <v>0.17199999999999999</v>
          </cell>
          <cell r="H50">
            <v>64747</v>
          </cell>
          <cell r="I50">
            <v>0.22700000000000001</v>
          </cell>
          <cell r="J50">
            <v>33593</v>
          </cell>
          <cell r="K50">
            <v>0.66200000000000003</v>
          </cell>
          <cell r="L50">
            <v>375751</v>
          </cell>
          <cell r="M50">
            <v>283.04000000000002</v>
          </cell>
          <cell r="N50">
            <v>3.4</v>
          </cell>
          <cell r="O50">
            <v>15.8</v>
          </cell>
          <cell r="P50">
            <v>16.3</v>
          </cell>
          <cell r="Q50">
            <v>13.52</v>
          </cell>
        </row>
        <row r="51">
          <cell r="A51">
            <v>50</v>
          </cell>
          <cell r="B51" t="str">
            <v>Palm Beach</v>
          </cell>
          <cell r="C51" t="str">
            <v>high</v>
          </cell>
          <cell r="D51">
            <v>44301</v>
          </cell>
          <cell r="E51">
            <v>189.68</v>
          </cell>
          <cell r="F51">
            <v>361656</v>
          </cell>
          <cell r="G51">
            <v>0.24199999999999999</v>
          </cell>
          <cell r="H51">
            <v>361350</v>
          </cell>
          <cell r="I51">
            <v>0.29799999999999999</v>
          </cell>
          <cell r="J51">
            <v>240767</v>
          </cell>
          <cell r="K51">
            <v>0.66</v>
          </cell>
          <cell r="L51">
            <v>1496770</v>
          </cell>
          <cell r="M51">
            <v>761.99</v>
          </cell>
          <cell r="N51">
            <v>2.6</v>
          </cell>
          <cell r="O51">
            <v>13.6</v>
          </cell>
          <cell r="P51">
            <v>12.8</v>
          </cell>
          <cell r="Q51">
            <v>24.36</v>
          </cell>
        </row>
        <row r="52">
          <cell r="A52">
            <v>51</v>
          </cell>
          <cell r="B52" t="str">
            <v>Pasco</v>
          </cell>
          <cell r="C52" t="str">
            <v>high</v>
          </cell>
          <cell r="D52">
            <v>44301</v>
          </cell>
          <cell r="E52">
            <v>191.9</v>
          </cell>
          <cell r="F52">
            <v>112036</v>
          </cell>
          <cell r="G52">
            <v>0.20200000000000001</v>
          </cell>
          <cell r="H52">
            <v>111983</v>
          </cell>
          <cell r="I52">
            <v>0.253</v>
          </cell>
          <cell r="J52">
            <v>72459</v>
          </cell>
          <cell r="K52">
            <v>0.57799999999999996</v>
          </cell>
          <cell r="L52">
            <v>553947</v>
          </cell>
          <cell r="M52">
            <v>741.98</v>
          </cell>
          <cell r="N52">
            <v>2.52</v>
          </cell>
          <cell r="O52">
            <v>11.8</v>
          </cell>
          <cell r="P52">
            <v>13.5</v>
          </cell>
          <cell r="Q52">
            <v>22.65</v>
          </cell>
        </row>
        <row r="53">
          <cell r="A53">
            <v>52</v>
          </cell>
          <cell r="B53" t="str">
            <v>Pinellas</v>
          </cell>
          <cell r="C53" t="str">
            <v>high</v>
          </cell>
          <cell r="D53">
            <v>44301</v>
          </cell>
          <cell r="E53">
            <v>187.49</v>
          </cell>
          <cell r="F53">
            <v>248366</v>
          </cell>
          <cell r="G53">
            <v>0.255</v>
          </cell>
          <cell r="H53">
            <v>248232</v>
          </cell>
          <cell r="I53">
            <v>0.30299999999999999</v>
          </cell>
          <cell r="J53">
            <v>154896</v>
          </cell>
          <cell r="K53">
            <v>0.626</v>
          </cell>
          <cell r="L53">
            <v>974996</v>
          </cell>
          <cell r="M53">
            <v>3561.28</v>
          </cell>
          <cell r="N53">
            <v>2.31</v>
          </cell>
          <cell r="O53">
            <v>11.5</v>
          </cell>
          <cell r="P53">
            <v>13</v>
          </cell>
          <cell r="Q53">
            <v>25.4</v>
          </cell>
        </row>
        <row r="54">
          <cell r="A54">
            <v>53</v>
          </cell>
          <cell r="B54" t="str">
            <v>Polk</v>
          </cell>
          <cell r="C54" t="str">
            <v>high</v>
          </cell>
          <cell r="D54">
            <v>44301</v>
          </cell>
          <cell r="E54">
            <v>198.13</v>
          </cell>
          <cell r="F54">
            <v>125905</v>
          </cell>
          <cell r="G54">
            <v>0.17399999999999999</v>
          </cell>
          <cell r="H54">
            <v>125833</v>
          </cell>
          <cell r="I54">
            <v>0.222</v>
          </cell>
          <cell r="J54">
            <v>82365</v>
          </cell>
          <cell r="K54">
            <v>0.55600000000000005</v>
          </cell>
          <cell r="L54">
            <v>724777</v>
          </cell>
          <cell r="M54">
            <v>403.21</v>
          </cell>
          <cell r="N54">
            <v>2.84</v>
          </cell>
          <cell r="O54">
            <v>13.2</v>
          </cell>
          <cell r="P54">
            <v>16.600000000000001</v>
          </cell>
          <cell r="Q54">
            <v>20.440000000000001</v>
          </cell>
        </row>
        <row r="55">
          <cell r="A55">
            <v>54</v>
          </cell>
          <cell r="B55" t="str">
            <v>Putnam</v>
          </cell>
          <cell r="C55" t="str">
            <v>high</v>
          </cell>
          <cell r="D55">
            <v>44301</v>
          </cell>
          <cell r="E55">
            <v>108.69</v>
          </cell>
          <cell r="F55">
            <v>10715</v>
          </cell>
          <cell r="G55">
            <v>0.14399999999999999</v>
          </cell>
          <cell r="H55">
            <v>10713</v>
          </cell>
          <cell r="I55">
            <v>0.182</v>
          </cell>
          <cell r="J55">
            <v>7703</v>
          </cell>
          <cell r="K55">
            <v>0.436</v>
          </cell>
          <cell r="L55">
            <v>74521</v>
          </cell>
          <cell r="M55">
            <v>102.38</v>
          </cell>
          <cell r="N55">
            <v>2.52</v>
          </cell>
          <cell r="O55">
            <v>16</v>
          </cell>
          <cell r="P55">
            <v>24.8</v>
          </cell>
          <cell r="Q55">
            <v>23.72</v>
          </cell>
        </row>
        <row r="56">
          <cell r="A56">
            <v>55</v>
          </cell>
          <cell r="B56" t="str">
            <v>Santa Rosa</v>
          </cell>
          <cell r="C56" t="str">
            <v>substantial</v>
          </cell>
          <cell r="D56">
            <v>44301</v>
          </cell>
          <cell r="E56">
            <v>53.71</v>
          </cell>
          <cell r="F56">
            <v>32751</v>
          </cell>
          <cell r="G56">
            <v>0.17799999999999999</v>
          </cell>
          <cell r="H56">
            <v>32723</v>
          </cell>
          <cell r="I56">
            <v>0.22700000000000001</v>
          </cell>
          <cell r="J56">
            <v>19422</v>
          </cell>
          <cell r="K56">
            <v>0.64500000000000002</v>
          </cell>
          <cell r="L56">
            <v>184313</v>
          </cell>
          <cell r="M56">
            <v>182.06</v>
          </cell>
          <cell r="N56">
            <v>2.68</v>
          </cell>
          <cell r="O56">
            <v>10</v>
          </cell>
          <cell r="P56">
            <v>9.8000000000000007</v>
          </cell>
          <cell r="Q56">
            <v>16.34</v>
          </cell>
        </row>
        <row r="57">
          <cell r="A57">
            <v>56</v>
          </cell>
          <cell r="B57" t="str">
            <v>Sarasota</v>
          </cell>
          <cell r="C57" t="str">
            <v>high</v>
          </cell>
          <cell r="D57">
            <v>44301</v>
          </cell>
          <cell r="E57">
            <v>182.37</v>
          </cell>
          <cell r="F57">
            <v>133674</v>
          </cell>
          <cell r="G57">
            <v>0.308</v>
          </cell>
          <cell r="H57">
            <v>133618</v>
          </cell>
          <cell r="I57">
            <v>0.35799999999999998</v>
          </cell>
          <cell r="J57">
            <v>105792</v>
          </cell>
          <cell r="K57">
            <v>0.65300000000000002</v>
          </cell>
          <cell r="L57">
            <v>433742</v>
          </cell>
          <cell r="M57">
            <v>780.13</v>
          </cell>
          <cell r="N57">
            <v>2.25</v>
          </cell>
          <cell r="O57">
            <v>11.4</v>
          </cell>
          <cell r="P57">
            <v>9.6999999999999993</v>
          </cell>
          <cell r="Q57">
            <v>37.340000000000003</v>
          </cell>
        </row>
        <row r="58">
          <cell r="A58">
            <v>57</v>
          </cell>
          <cell r="B58" t="str">
            <v>Seminole</v>
          </cell>
          <cell r="C58" t="str">
            <v>high</v>
          </cell>
          <cell r="D58">
            <v>44301</v>
          </cell>
          <cell r="E58">
            <v>193.5</v>
          </cell>
          <cell r="F58">
            <v>90719</v>
          </cell>
          <cell r="G58">
            <v>0.192</v>
          </cell>
          <cell r="H58">
            <v>90589</v>
          </cell>
          <cell r="I58">
            <v>0.24199999999999999</v>
          </cell>
          <cell r="J58">
            <v>46677</v>
          </cell>
          <cell r="K58">
            <v>0.61899999999999999</v>
          </cell>
          <cell r="L58">
            <v>471826</v>
          </cell>
          <cell r="M58">
            <v>1525.34</v>
          </cell>
          <cell r="N58">
            <v>2.7</v>
          </cell>
          <cell r="O58">
            <v>10.4</v>
          </cell>
          <cell r="P58">
            <v>11.4</v>
          </cell>
          <cell r="Q58">
            <v>15.98</v>
          </cell>
        </row>
        <row r="59">
          <cell r="A59">
            <v>58</v>
          </cell>
          <cell r="B59" t="str">
            <v>St. Johns</v>
          </cell>
          <cell r="C59" t="str">
            <v>high</v>
          </cell>
          <cell r="D59">
            <v>44301</v>
          </cell>
          <cell r="E59">
            <v>122.79</v>
          </cell>
          <cell r="F59">
            <v>78317</v>
          </cell>
          <cell r="G59">
            <v>0.29599999999999999</v>
          </cell>
          <cell r="H59">
            <v>78204</v>
          </cell>
          <cell r="I59">
            <v>0.377</v>
          </cell>
          <cell r="J59">
            <v>45096</v>
          </cell>
          <cell r="K59">
            <v>0.82499999999999996</v>
          </cell>
          <cell r="L59">
            <v>264672</v>
          </cell>
          <cell r="M59">
            <v>440.71</v>
          </cell>
          <cell r="N59">
            <v>2.7</v>
          </cell>
          <cell r="O59">
            <v>8.4</v>
          </cell>
          <cell r="P59">
            <v>8.4</v>
          </cell>
          <cell r="Q59">
            <v>20.65</v>
          </cell>
        </row>
        <row r="60">
          <cell r="A60">
            <v>59</v>
          </cell>
          <cell r="B60" t="str">
            <v>St. Lucie</v>
          </cell>
          <cell r="C60" t="str">
            <v>high</v>
          </cell>
          <cell r="D60">
            <v>44301</v>
          </cell>
          <cell r="E60">
            <v>149.26</v>
          </cell>
          <cell r="F60">
            <v>65744</v>
          </cell>
          <cell r="G60">
            <v>0.2</v>
          </cell>
          <cell r="H60">
            <v>65730</v>
          </cell>
          <cell r="I60">
            <v>0.249</v>
          </cell>
          <cell r="J60">
            <v>47129</v>
          </cell>
          <cell r="K60">
            <v>0.58199999999999996</v>
          </cell>
          <cell r="L60">
            <v>328297</v>
          </cell>
          <cell r="M60">
            <v>574.29999999999995</v>
          </cell>
          <cell r="N60">
            <v>2.68</v>
          </cell>
          <cell r="O60">
            <v>14</v>
          </cell>
          <cell r="P60">
            <v>15</v>
          </cell>
          <cell r="Q60">
            <v>24.65</v>
          </cell>
        </row>
        <row r="61">
          <cell r="A61">
            <v>60</v>
          </cell>
          <cell r="B61" t="str">
            <v>Sumter</v>
          </cell>
          <cell r="C61" t="str">
            <v>high</v>
          </cell>
          <cell r="D61">
            <v>44301</v>
          </cell>
          <cell r="E61">
            <v>101.19</v>
          </cell>
          <cell r="F61">
            <v>67298</v>
          </cell>
          <cell r="G61">
            <v>0.50800000000000001</v>
          </cell>
          <cell r="H61">
            <v>67289</v>
          </cell>
          <cell r="I61">
            <v>0.54700000000000004</v>
          </cell>
          <cell r="J61">
            <v>60566</v>
          </cell>
          <cell r="K61">
            <v>0.78600000000000003</v>
          </cell>
          <cell r="L61">
            <v>132420</v>
          </cell>
          <cell r="M61">
            <v>237.68</v>
          </cell>
          <cell r="N61">
            <v>2.04</v>
          </cell>
          <cell r="O61">
            <v>6.2</v>
          </cell>
          <cell r="P61">
            <v>8.8000000000000007</v>
          </cell>
          <cell r="Q61">
            <v>58.17</v>
          </cell>
        </row>
        <row r="62">
          <cell r="A62">
            <v>61</v>
          </cell>
          <cell r="B62" t="str">
            <v>Suwannee</v>
          </cell>
          <cell r="C62" t="str">
            <v>substantial</v>
          </cell>
          <cell r="D62">
            <v>44301</v>
          </cell>
          <cell r="E62">
            <v>67.540000000000006</v>
          </cell>
          <cell r="F62">
            <v>6936</v>
          </cell>
          <cell r="G62">
            <v>0.156</v>
          </cell>
          <cell r="H62">
            <v>6934</v>
          </cell>
          <cell r="I62">
            <v>0.19800000000000001</v>
          </cell>
          <cell r="J62">
            <v>5128</v>
          </cell>
          <cell r="K62">
            <v>0.53100000000000003</v>
          </cell>
          <cell r="L62">
            <v>44417</v>
          </cell>
          <cell r="M62">
            <v>64.510000000000005</v>
          </cell>
          <cell r="N62">
            <v>2.81</v>
          </cell>
          <cell r="O62">
            <v>13.9</v>
          </cell>
          <cell r="P62">
            <v>17.8</v>
          </cell>
          <cell r="Q62">
            <v>21.73</v>
          </cell>
        </row>
        <row r="63">
          <cell r="A63">
            <v>62</v>
          </cell>
          <cell r="B63" t="str">
            <v>Taylor</v>
          </cell>
          <cell r="C63" t="str">
            <v>moderate</v>
          </cell>
          <cell r="D63">
            <v>44301</v>
          </cell>
          <cell r="E63" t="str">
            <v>suppressed</v>
          </cell>
          <cell r="F63">
            <v>3104</v>
          </cell>
          <cell r="G63">
            <v>0.14399999999999999</v>
          </cell>
          <cell r="H63">
            <v>3103</v>
          </cell>
          <cell r="I63">
            <v>0.17899999999999999</v>
          </cell>
          <cell r="J63">
            <v>2247</v>
          </cell>
          <cell r="K63">
            <v>0.497</v>
          </cell>
          <cell r="L63">
            <v>21569</v>
          </cell>
          <cell r="M63">
            <v>20.67</v>
          </cell>
          <cell r="N63">
            <v>2.4700000000000002</v>
          </cell>
          <cell r="O63">
            <v>10.9</v>
          </cell>
          <cell r="P63">
            <v>19.8</v>
          </cell>
          <cell r="Q63">
            <v>20.98</v>
          </cell>
        </row>
        <row r="64">
          <cell r="A64">
            <v>63</v>
          </cell>
          <cell r="B64" t="str">
            <v>Union</v>
          </cell>
          <cell r="C64" t="str">
            <v>substantial</v>
          </cell>
          <cell r="D64">
            <v>44301</v>
          </cell>
          <cell r="E64" t="str">
            <v>suppressed</v>
          </cell>
          <cell r="F64">
            <v>1549</v>
          </cell>
          <cell r="G64">
            <v>0.10199999999999999</v>
          </cell>
          <cell r="H64">
            <v>1549</v>
          </cell>
          <cell r="I64">
            <v>0.127</v>
          </cell>
          <cell r="J64">
            <v>1089</v>
          </cell>
          <cell r="K64">
            <v>0.47</v>
          </cell>
          <cell r="L64">
            <v>15237</v>
          </cell>
          <cell r="M64">
            <v>62.56</v>
          </cell>
          <cell r="N64">
            <v>2.5</v>
          </cell>
          <cell r="O64">
            <v>12.4</v>
          </cell>
          <cell r="P64">
            <v>22</v>
          </cell>
          <cell r="Q64">
            <v>15.21</v>
          </cell>
        </row>
        <row r="65">
          <cell r="A65">
            <v>64</v>
          </cell>
          <cell r="B65" t="str">
            <v>Volusia</v>
          </cell>
          <cell r="C65" t="str">
            <v>high</v>
          </cell>
          <cell r="D65">
            <v>44301</v>
          </cell>
          <cell r="E65">
            <v>214.9</v>
          </cell>
          <cell r="F65">
            <v>123387</v>
          </cell>
          <cell r="G65">
            <v>0.223</v>
          </cell>
          <cell r="H65">
            <v>123352</v>
          </cell>
          <cell r="I65">
            <v>0.27</v>
          </cell>
          <cell r="J65">
            <v>86443</v>
          </cell>
          <cell r="K65">
            <v>0.627</v>
          </cell>
          <cell r="L65">
            <v>553284</v>
          </cell>
          <cell r="M65">
            <v>502.42</v>
          </cell>
          <cell r="N65">
            <v>2.4300000000000002</v>
          </cell>
          <cell r="O65">
            <v>12.5</v>
          </cell>
          <cell r="P65">
            <v>15.2</v>
          </cell>
          <cell r="Q65">
            <v>24.91</v>
          </cell>
        </row>
        <row r="66">
          <cell r="A66">
            <v>65</v>
          </cell>
          <cell r="B66" t="str">
            <v>Wakulla</v>
          </cell>
          <cell r="C66" t="str">
            <v>high</v>
          </cell>
          <cell r="D66">
            <v>44301</v>
          </cell>
          <cell r="E66">
            <v>115.59</v>
          </cell>
          <cell r="F66">
            <v>6189</v>
          </cell>
          <cell r="G66">
            <v>0.183</v>
          </cell>
          <cell r="H66">
            <v>6185</v>
          </cell>
          <cell r="I66">
            <v>0.23100000000000001</v>
          </cell>
          <cell r="J66">
            <v>3846</v>
          </cell>
          <cell r="K66">
            <v>0.71699999999999997</v>
          </cell>
          <cell r="L66">
            <v>33739</v>
          </cell>
          <cell r="M66">
            <v>55.64</v>
          </cell>
          <cell r="N66">
            <v>2.56</v>
          </cell>
          <cell r="O66">
            <v>9</v>
          </cell>
          <cell r="P66">
            <v>11.5</v>
          </cell>
          <cell r="Q66">
            <v>15.9</v>
          </cell>
        </row>
        <row r="67">
          <cell r="A67">
            <v>66</v>
          </cell>
          <cell r="B67" t="str">
            <v>Walton</v>
          </cell>
          <cell r="C67" t="str">
            <v>high</v>
          </cell>
          <cell r="D67">
            <v>44301</v>
          </cell>
          <cell r="E67">
            <v>199.81</v>
          </cell>
          <cell r="F67">
            <v>13543</v>
          </cell>
          <cell r="G67">
            <v>0.183</v>
          </cell>
          <cell r="H67">
            <v>13539</v>
          </cell>
          <cell r="I67">
            <v>0.23</v>
          </cell>
          <cell r="J67">
            <v>8819</v>
          </cell>
          <cell r="K67">
            <v>0.58899999999999997</v>
          </cell>
          <cell r="L67">
            <v>74071</v>
          </cell>
          <cell r="M67">
            <v>71.38</v>
          </cell>
          <cell r="N67">
            <v>2.42</v>
          </cell>
          <cell r="O67">
            <v>13.5</v>
          </cell>
          <cell r="P67">
            <v>14.7</v>
          </cell>
          <cell r="Q67">
            <v>20.22</v>
          </cell>
        </row>
        <row r="68">
          <cell r="A68">
            <v>67</v>
          </cell>
          <cell r="B68" t="str">
            <v>Washington</v>
          </cell>
          <cell r="C68" t="str">
            <v>substantial</v>
          </cell>
          <cell r="D68">
            <v>44301</v>
          </cell>
          <cell r="E68">
            <v>66.739999999999995</v>
          </cell>
          <cell r="F68">
            <v>2934</v>
          </cell>
          <cell r="G68">
            <v>0.115</v>
          </cell>
          <cell r="H68">
            <v>2931</v>
          </cell>
          <cell r="I68">
            <v>0.14399999999999999</v>
          </cell>
          <cell r="J68">
            <v>1942</v>
          </cell>
          <cell r="K68">
            <v>0.443</v>
          </cell>
          <cell r="L68">
            <v>25473</v>
          </cell>
          <cell r="M68">
            <v>43.57</v>
          </cell>
          <cell r="N68">
            <v>2.57</v>
          </cell>
          <cell r="O68">
            <v>12.8</v>
          </cell>
          <cell r="P68">
            <v>22.4</v>
          </cell>
          <cell r="Q68">
            <v>17.2</v>
          </cell>
        </row>
      </sheetData>
      <sheetData sheetId="7">
        <row r="1">
          <cell r="B1" t="str">
            <v>County</v>
          </cell>
          <cell r="C1" t="str">
            <v>Level_Of_Transmission</v>
          </cell>
          <cell r="D1" t="str">
            <v>Date_Updated</v>
          </cell>
          <cell r="E1" t="str">
            <v>Infection_Rate</v>
          </cell>
          <cell r="F1" t="str">
            <v>Vaccinated</v>
          </cell>
          <cell r="G1" t="str">
            <v>Vaccinated_Percent</v>
          </cell>
          <cell r="H1" t="str">
            <v>Over_18_Vacc</v>
          </cell>
          <cell r="I1" t="str">
            <v>Over_18_Vacc_Percent</v>
          </cell>
          <cell r="J1" t="str">
            <v>Over_65_Vacc</v>
          </cell>
          <cell r="K1" t="str">
            <v>Over_65_Vacc_Percent</v>
          </cell>
          <cell r="L1" t="str">
            <v>Total_Population</v>
          </cell>
          <cell r="M1" t="str">
            <v>Population_Density</v>
          </cell>
          <cell r="N1" t="str">
            <v>Avg_HH_Size</v>
          </cell>
          <cell r="O1" t="str">
            <v>Percent_Uninsured</v>
          </cell>
          <cell r="P1" t="str">
            <v>Poverty Rate</v>
          </cell>
          <cell r="Q1" t="str">
            <v>Over_65</v>
          </cell>
        </row>
        <row r="2">
          <cell r="A2">
            <v>1</v>
          </cell>
          <cell r="B2" t="str">
            <v>Alachua</v>
          </cell>
          <cell r="C2" t="str">
            <v>high</v>
          </cell>
          <cell r="D2">
            <v>44302</v>
          </cell>
          <cell r="E2">
            <v>111.88</v>
          </cell>
          <cell r="F2">
            <v>68986</v>
          </cell>
          <cell r="G2">
            <v>0.25600000000000001</v>
          </cell>
          <cell r="H2">
            <v>68935</v>
          </cell>
          <cell r="I2">
            <v>0.312</v>
          </cell>
          <cell r="J2">
            <v>30496</v>
          </cell>
          <cell r="K2">
            <v>0.77700000000000002</v>
          </cell>
          <cell r="L2">
            <v>269043</v>
          </cell>
          <cell r="M2">
            <v>307.29000000000002</v>
          </cell>
          <cell r="N2">
            <v>2.54</v>
          </cell>
          <cell r="O2">
            <v>9.1999999999999993</v>
          </cell>
          <cell r="P2">
            <v>21.8</v>
          </cell>
          <cell r="Q2">
            <v>14.6</v>
          </cell>
        </row>
        <row r="3">
          <cell r="A3">
            <v>2</v>
          </cell>
          <cell r="B3" t="str">
            <v>Baker</v>
          </cell>
          <cell r="C3" t="str">
            <v>substantial</v>
          </cell>
          <cell r="D3">
            <v>44302</v>
          </cell>
          <cell r="E3">
            <v>75.319999999999993</v>
          </cell>
          <cell r="F3">
            <v>3426</v>
          </cell>
          <cell r="G3">
            <v>0.11700000000000001</v>
          </cell>
          <cell r="H3">
            <v>3426</v>
          </cell>
          <cell r="I3">
            <v>0.154</v>
          </cell>
          <cell r="J3">
            <v>2174</v>
          </cell>
          <cell r="K3">
            <v>0.52800000000000002</v>
          </cell>
          <cell r="L3">
            <v>29210</v>
          </cell>
          <cell r="M3">
            <v>49.91</v>
          </cell>
          <cell r="N3">
            <v>2.92</v>
          </cell>
          <cell r="O3">
            <v>12.5</v>
          </cell>
          <cell r="P3">
            <v>14.6</v>
          </cell>
          <cell r="Q3">
            <v>14.09</v>
          </cell>
        </row>
        <row r="4">
          <cell r="A4">
            <v>3</v>
          </cell>
          <cell r="B4" t="str">
            <v>Bay</v>
          </cell>
          <cell r="C4" t="str">
            <v>substantial</v>
          </cell>
          <cell r="D4">
            <v>44302</v>
          </cell>
          <cell r="E4">
            <v>95.02</v>
          </cell>
          <cell r="F4">
            <v>35060</v>
          </cell>
          <cell r="G4">
            <v>0.20100000000000001</v>
          </cell>
          <cell r="H4">
            <v>35040</v>
          </cell>
          <cell r="I4">
            <v>0.253</v>
          </cell>
          <cell r="J4">
            <v>18749</v>
          </cell>
          <cell r="K4">
            <v>0.57599999999999996</v>
          </cell>
          <cell r="L4">
            <v>174705</v>
          </cell>
          <cell r="M4">
            <v>230.3</v>
          </cell>
          <cell r="N4">
            <v>2.57</v>
          </cell>
          <cell r="O4">
            <v>14.2</v>
          </cell>
          <cell r="P4">
            <v>14.7</v>
          </cell>
          <cell r="Q4">
            <v>18.62</v>
          </cell>
        </row>
        <row r="5">
          <cell r="A5">
            <v>4</v>
          </cell>
          <cell r="B5" t="str">
            <v>Bradford</v>
          </cell>
          <cell r="C5" t="str">
            <v>moderate</v>
          </cell>
          <cell r="D5">
            <v>44302</v>
          </cell>
          <cell r="E5">
            <v>42.55</v>
          </cell>
          <cell r="F5">
            <v>3695</v>
          </cell>
          <cell r="G5">
            <v>0.13100000000000001</v>
          </cell>
          <cell r="H5">
            <v>3695</v>
          </cell>
          <cell r="I5">
            <v>0.16300000000000001</v>
          </cell>
          <cell r="J5">
            <v>2502</v>
          </cell>
          <cell r="K5">
            <v>0.49399999999999999</v>
          </cell>
          <cell r="L5">
            <v>28201</v>
          </cell>
          <cell r="M5">
            <v>95.93</v>
          </cell>
          <cell r="N5">
            <v>2.6</v>
          </cell>
          <cell r="O5">
            <v>12.4</v>
          </cell>
          <cell r="P5">
            <v>20.3</v>
          </cell>
          <cell r="Q5">
            <v>17.96</v>
          </cell>
        </row>
        <row r="6">
          <cell r="A6">
            <v>5</v>
          </cell>
          <cell r="B6" t="str">
            <v>Brevard</v>
          </cell>
          <cell r="C6" t="str">
            <v>high</v>
          </cell>
          <cell r="D6">
            <v>44302</v>
          </cell>
          <cell r="E6">
            <v>147.52000000000001</v>
          </cell>
          <cell r="F6">
            <v>135782</v>
          </cell>
          <cell r="G6">
            <v>0.22600000000000001</v>
          </cell>
          <cell r="H6">
            <v>135716</v>
          </cell>
          <cell r="I6">
            <v>0.27500000000000002</v>
          </cell>
          <cell r="J6">
            <v>88342</v>
          </cell>
          <cell r="K6">
            <v>0.60599999999999998</v>
          </cell>
          <cell r="L6">
            <v>601942</v>
          </cell>
          <cell r="M6">
            <v>593.05999999999995</v>
          </cell>
          <cell r="N6">
            <v>2.4900000000000002</v>
          </cell>
          <cell r="O6">
            <v>10.8</v>
          </cell>
          <cell r="P6">
            <v>12.7</v>
          </cell>
          <cell r="Q6">
            <v>24.21</v>
          </cell>
        </row>
        <row r="7">
          <cell r="A7">
            <v>6</v>
          </cell>
          <cell r="B7" t="str">
            <v>Broward</v>
          </cell>
          <cell r="C7" t="str">
            <v>high</v>
          </cell>
          <cell r="D7">
            <v>44302</v>
          </cell>
          <cell r="E7">
            <v>284.72000000000003</v>
          </cell>
          <cell r="F7">
            <v>428489</v>
          </cell>
          <cell r="G7">
            <v>0.219</v>
          </cell>
          <cell r="H7">
            <v>427780</v>
          </cell>
          <cell r="I7">
            <v>0.27700000000000002</v>
          </cell>
          <cell r="J7">
            <v>214454</v>
          </cell>
          <cell r="K7">
            <v>0.64100000000000001</v>
          </cell>
          <cell r="L7">
            <v>1952778</v>
          </cell>
          <cell r="M7">
            <v>1623.5</v>
          </cell>
          <cell r="N7">
            <v>2.77</v>
          </cell>
          <cell r="O7">
            <v>14.6</v>
          </cell>
          <cell r="P7">
            <v>13.5</v>
          </cell>
          <cell r="Q7">
            <v>17.13</v>
          </cell>
        </row>
        <row r="8">
          <cell r="A8">
            <v>7</v>
          </cell>
          <cell r="B8" t="str">
            <v>Calhoun</v>
          </cell>
          <cell r="C8" t="str">
            <v>moderate</v>
          </cell>
          <cell r="D8">
            <v>44302</v>
          </cell>
          <cell r="E8" t="str">
            <v>suppressed</v>
          </cell>
          <cell r="F8">
            <v>2002</v>
          </cell>
          <cell r="G8">
            <v>0.14199999999999999</v>
          </cell>
          <cell r="H8">
            <v>2002</v>
          </cell>
          <cell r="I8">
            <v>0.17699999999999999</v>
          </cell>
          <cell r="J8">
            <v>1356</v>
          </cell>
          <cell r="K8">
            <v>0.50800000000000001</v>
          </cell>
          <cell r="L8">
            <v>14105</v>
          </cell>
          <cell r="M8">
            <v>24.86</v>
          </cell>
          <cell r="N8">
            <v>2.73</v>
          </cell>
          <cell r="O8">
            <v>18.3</v>
          </cell>
          <cell r="P8">
            <v>12.2</v>
          </cell>
          <cell r="Q8">
            <v>18.93</v>
          </cell>
        </row>
        <row r="9">
          <cell r="A9">
            <v>8</v>
          </cell>
          <cell r="B9" t="str">
            <v>Charlotte</v>
          </cell>
          <cell r="C9" t="str">
            <v>high</v>
          </cell>
          <cell r="D9">
            <v>44302</v>
          </cell>
          <cell r="E9">
            <v>156.69</v>
          </cell>
          <cell r="F9">
            <v>59861</v>
          </cell>
          <cell r="G9">
            <v>0.317</v>
          </cell>
          <cell r="H9">
            <v>59836</v>
          </cell>
          <cell r="I9">
            <v>0.35899999999999999</v>
          </cell>
          <cell r="J9">
            <v>48935</v>
          </cell>
          <cell r="K9">
            <v>0.63500000000000001</v>
          </cell>
          <cell r="L9">
            <v>188910</v>
          </cell>
          <cell r="M9">
            <v>277.36</v>
          </cell>
          <cell r="N9">
            <v>2.2799999999999998</v>
          </cell>
          <cell r="O9">
            <v>11.3</v>
          </cell>
          <cell r="P9">
            <v>11.1</v>
          </cell>
          <cell r="Q9">
            <v>40.799999999999997</v>
          </cell>
        </row>
        <row r="10">
          <cell r="A10">
            <v>9</v>
          </cell>
          <cell r="B10" t="str">
            <v>Citrus</v>
          </cell>
          <cell r="C10" t="str">
            <v>substantial</v>
          </cell>
          <cell r="D10">
            <v>44302</v>
          </cell>
          <cell r="E10">
            <v>86.87</v>
          </cell>
          <cell r="F10">
            <v>38975</v>
          </cell>
          <cell r="G10">
            <v>0.26</v>
          </cell>
          <cell r="H10">
            <v>38969</v>
          </cell>
          <cell r="I10">
            <v>0.30499999999999999</v>
          </cell>
          <cell r="J10">
            <v>32213</v>
          </cell>
          <cell r="K10">
            <v>0.58599999999999997</v>
          </cell>
          <cell r="L10">
            <v>149657</v>
          </cell>
          <cell r="M10">
            <v>257.18</v>
          </cell>
          <cell r="N10">
            <v>2.2400000000000002</v>
          </cell>
          <cell r="O10">
            <v>10.4</v>
          </cell>
          <cell r="P10">
            <v>16.7</v>
          </cell>
          <cell r="Q10">
            <v>36.71</v>
          </cell>
        </row>
        <row r="11">
          <cell r="A11">
            <v>10</v>
          </cell>
          <cell r="B11" t="str">
            <v>Clay</v>
          </cell>
          <cell r="C11" t="str">
            <v>high</v>
          </cell>
          <cell r="D11">
            <v>44302</v>
          </cell>
          <cell r="E11">
            <v>107.18</v>
          </cell>
          <cell r="F11">
            <v>36953</v>
          </cell>
          <cell r="G11">
            <v>0.16900000000000001</v>
          </cell>
          <cell r="H11">
            <v>36926</v>
          </cell>
          <cell r="I11">
            <v>0.219</v>
          </cell>
          <cell r="J11">
            <v>20279</v>
          </cell>
          <cell r="K11">
            <v>0.56599999999999995</v>
          </cell>
          <cell r="L11">
            <v>219252</v>
          </cell>
          <cell r="M11">
            <v>362.63</v>
          </cell>
          <cell r="N11">
            <v>2.81</v>
          </cell>
          <cell r="O11">
            <v>10.4</v>
          </cell>
          <cell r="P11">
            <v>10.6</v>
          </cell>
          <cell r="Q11">
            <v>16.350000000000001</v>
          </cell>
        </row>
        <row r="12">
          <cell r="A12">
            <v>11</v>
          </cell>
          <cell r="B12" t="str">
            <v>Collier</v>
          </cell>
          <cell r="C12" t="str">
            <v>high</v>
          </cell>
          <cell r="D12">
            <v>44302</v>
          </cell>
          <cell r="E12">
            <v>190.18</v>
          </cell>
          <cell r="F12">
            <v>112156</v>
          </cell>
          <cell r="G12">
            <v>0.29099999999999998</v>
          </cell>
          <cell r="H12">
            <v>112123</v>
          </cell>
          <cell r="I12">
            <v>0.35</v>
          </cell>
          <cell r="J12">
            <v>87844</v>
          </cell>
          <cell r="K12">
            <v>0.69299999999999995</v>
          </cell>
          <cell r="L12">
            <v>384902</v>
          </cell>
          <cell r="M12">
            <v>192.75</v>
          </cell>
          <cell r="N12">
            <v>2.5499999999999998</v>
          </cell>
          <cell r="O12">
            <v>16.5</v>
          </cell>
          <cell r="P12">
            <v>12.3</v>
          </cell>
          <cell r="Q12">
            <v>32.92</v>
          </cell>
        </row>
        <row r="13">
          <cell r="A13">
            <v>12</v>
          </cell>
          <cell r="B13" t="str">
            <v>Columbia</v>
          </cell>
          <cell r="C13" t="str">
            <v>substantial</v>
          </cell>
          <cell r="D13">
            <v>44302</v>
          </cell>
          <cell r="E13">
            <v>94.86</v>
          </cell>
          <cell r="F13">
            <v>12003</v>
          </cell>
          <cell r="G13">
            <v>0.16700000000000001</v>
          </cell>
          <cell r="H13">
            <v>12000</v>
          </cell>
          <cell r="I13">
            <v>0.21299999999999999</v>
          </cell>
          <cell r="J13">
            <v>7625</v>
          </cell>
          <cell r="K13">
            <v>0.55200000000000005</v>
          </cell>
          <cell r="L13">
            <v>71686</v>
          </cell>
          <cell r="M13">
            <v>89.88</v>
          </cell>
          <cell r="N13">
            <v>2.57</v>
          </cell>
          <cell r="O13">
            <v>12.4</v>
          </cell>
          <cell r="P13">
            <v>17.399999999999999</v>
          </cell>
          <cell r="Q13">
            <v>19.260000000000002</v>
          </cell>
        </row>
        <row r="14">
          <cell r="A14">
            <v>13</v>
          </cell>
          <cell r="B14" t="str">
            <v>DeSoto</v>
          </cell>
          <cell r="C14" t="str">
            <v>high</v>
          </cell>
          <cell r="D14">
            <v>44302</v>
          </cell>
          <cell r="E14">
            <v>171.05</v>
          </cell>
          <cell r="F14">
            <v>5576</v>
          </cell>
          <cell r="G14">
            <v>0.14699999999999999</v>
          </cell>
          <cell r="H14">
            <v>5576</v>
          </cell>
          <cell r="I14">
            <v>0.18099999999999999</v>
          </cell>
          <cell r="J14">
            <v>4225</v>
          </cell>
          <cell r="K14">
            <v>0.49399999999999999</v>
          </cell>
          <cell r="L14">
            <v>38001</v>
          </cell>
          <cell r="M14">
            <v>59.68</v>
          </cell>
          <cell r="N14">
            <v>2.74</v>
          </cell>
          <cell r="O14">
            <v>18.399999999999999</v>
          </cell>
          <cell r="P14">
            <v>28.5</v>
          </cell>
          <cell r="Q14">
            <v>22.52</v>
          </cell>
        </row>
        <row r="15">
          <cell r="A15">
            <v>14</v>
          </cell>
          <cell r="B15" t="str">
            <v>Dixie</v>
          </cell>
          <cell r="C15" t="str">
            <v>substantial</v>
          </cell>
          <cell r="D15">
            <v>44302</v>
          </cell>
          <cell r="E15">
            <v>65.38</v>
          </cell>
          <cell r="F15">
            <v>2372</v>
          </cell>
          <cell r="G15">
            <v>0.14099999999999999</v>
          </cell>
          <cell r="H15">
            <v>2372</v>
          </cell>
          <cell r="I15">
            <v>0.17199999999999999</v>
          </cell>
          <cell r="J15">
            <v>1835</v>
          </cell>
          <cell r="K15">
            <v>0.46100000000000002</v>
          </cell>
          <cell r="L15">
            <v>16826</v>
          </cell>
          <cell r="M15">
            <v>23.86</v>
          </cell>
          <cell r="N15">
            <v>2.2799999999999998</v>
          </cell>
          <cell r="O15">
            <v>17.2</v>
          </cell>
          <cell r="P15">
            <v>23.1</v>
          </cell>
          <cell r="Q15">
            <v>23.68</v>
          </cell>
        </row>
        <row r="16">
          <cell r="A16">
            <v>15</v>
          </cell>
          <cell r="B16" t="str">
            <v>Duval</v>
          </cell>
          <cell r="C16" t="str">
            <v>high</v>
          </cell>
          <cell r="D16">
            <v>44302</v>
          </cell>
          <cell r="E16">
            <v>125.71</v>
          </cell>
          <cell r="F16">
            <v>212374</v>
          </cell>
          <cell r="G16">
            <v>0.222</v>
          </cell>
          <cell r="H16">
            <v>212187</v>
          </cell>
          <cell r="I16">
            <v>0.28599999999999998</v>
          </cell>
          <cell r="J16">
            <v>95565</v>
          </cell>
          <cell r="K16">
            <v>0.69</v>
          </cell>
          <cell r="L16">
            <v>957755</v>
          </cell>
          <cell r="M16">
            <v>1255.8599999999999</v>
          </cell>
          <cell r="N16">
            <v>2.5499999999999998</v>
          </cell>
          <cell r="O16">
            <v>12</v>
          </cell>
          <cell r="P16">
            <v>15.5</v>
          </cell>
          <cell r="Q16">
            <v>14.47</v>
          </cell>
        </row>
        <row r="17">
          <cell r="A17">
            <v>16</v>
          </cell>
          <cell r="B17" t="str">
            <v>Escambia</v>
          </cell>
          <cell r="C17" t="str">
            <v>substantial</v>
          </cell>
          <cell r="D17">
            <v>44302</v>
          </cell>
          <cell r="E17">
            <v>83.88</v>
          </cell>
          <cell r="F17">
            <v>66369</v>
          </cell>
          <cell r="G17">
            <v>0.20899999999999999</v>
          </cell>
          <cell r="H17">
            <v>66340</v>
          </cell>
          <cell r="I17">
            <v>0.26300000000000001</v>
          </cell>
          <cell r="J17">
            <v>35015</v>
          </cell>
          <cell r="K17">
            <v>0.64200000000000002</v>
          </cell>
          <cell r="L17">
            <v>318316</v>
          </cell>
          <cell r="M17">
            <v>484.52</v>
          </cell>
          <cell r="N17">
            <v>2.4700000000000002</v>
          </cell>
          <cell r="O17">
            <v>10.199999999999999</v>
          </cell>
          <cell r="P17">
            <v>13.9</v>
          </cell>
          <cell r="Q17">
            <v>17.14</v>
          </cell>
        </row>
        <row r="18">
          <cell r="A18">
            <v>17</v>
          </cell>
          <cell r="B18" t="str">
            <v>Flagler</v>
          </cell>
          <cell r="C18" t="str">
            <v>high</v>
          </cell>
          <cell r="D18">
            <v>44302</v>
          </cell>
          <cell r="E18">
            <v>117.31</v>
          </cell>
          <cell r="F18">
            <v>32308</v>
          </cell>
          <cell r="G18">
            <v>0.28100000000000003</v>
          </cell>
          <cell r="H18">
            <v>32299</v>
          </cell>
          <cell r="I18">
            <v>0.33700000000000002</v>
          </cell>
          <cell r="J18">
            <v>24312</v>
          </cell>
          <cell r="K18">
            <v>0.67700000000000005</v>
          </cell>
          <cell r="L18">
            <v>115081</v>
          </cell>
          <cell r="M18">
            <v>237.21</v>
          </cell>
          <cell r="N18">
            <v>2.62</v>
          </cell>
          <cell r="O18">
            <v>12.7</v>
          </cell>
          <cell r="P18">
            <v>11.9</v>
          </cell>
          <cell r="Q18">
            <v>31.19</v>
          </cell>
        </row>
        <row r="19">
          <cell r="A19">
            <v>18</v>
          </cell>
          <cell r="B19" t="str">
            <v>Franklin</v>
          </cell>
          <cell r="C19" t="str">
            <v>high</v>
          </cell>
          <cell r="D19">
            <v>44302</v>
          </cell>
          <cell r="E19" t="str">
            <v>suppressed</v>
          </cell>
          <cell r="F19">
            <v>2862</v>
          </cell>
          <cell r="G19">
            <v>0.23599999999999999</v>
          </cell>
          <cell r="H19">
            <v>2862</v>
          </cell>
          <cell r="I19">
            <v>0.27900000000000003</v>
          </cell>
          <cell r="J19">
            <v>2038</v>
          </cell>
          <cell r="K19">
            <v>0.69699999999999995</v>
          </cell>
          <cell r="L19">
            <v>12125</v>
          </cell>
          <cell r="M19">
            <v>22.24</v>
          </cell>
          <cell r="N19">
            <v>2.35</v>
          </cell>
          <cell r="O19">
            <v>18.3</v>
          </cell>
          <cell r="P19">
            <v>20.7</v>
          </cell>
          <cell r="Q19">
            <v>24.13</v>
          </cell>
        </row>
        <row r="20">
          <cell r="A20">
            <v>19</v>
          </cell>
          <cell r="B20" t="str">
            <v>Gadsden</v>
          </cell>
          <cell r="C20" t="str">
            <v>substantial</v>
          </cell>
          <cell r="D20">
            <v>44302</v>
          </cell>
          <cell r="E20">
            <v>61.32</v>
          </cell>
          <cell r="F20">
            <v>10964</v>
          </cell>
          <cell r="G20">
            <v>0.24</v>
          </cell>
          <cell r="H20">
            <v>10958</v>
          </cell>
          <cell r="I20">
            <v>0.30599999999999999</v>
          </cell>
          <cell r="J20">
            <v>5847</v>
          </cell>
          <cell r="K20">
            <v>0.68500000000000005</v>
          </cell>
          <cell r="L20">
            <v>45660</v>
          </cell>
          <cell r="M20">
            <v>88.44</v>
          </cell>
          <cell r="N20">
            <v>2.4700000000000002</v>
          </cell>
          <cell r="O20">
            <v>14.9</v>
          </cell>
          <cell r="P20">
            <v>24.6</v>
          </cell>
          <cell r="Q20">
            <v>18.7</v>
          </cell>
        </row>
        <row r="21">
          <cell r="A21">
            <v>20</v>
          </cell>
          <cell r="B21" t="str">
            <v>Gilchrist</v>
          </cell>
          <cell r="C21" t="str">
            <v>high</v>
          </cell>
          <cell r="D21">
            <v>44302</v>
          </cell>
          <cell r="E21">
            <v>204.5</v>
          </cell>
          <cell r="F21">
            <v>2625</v>
          </cell>
          <cell r="G21">
            <v>0.14099999999999999</v>
          </cell>
          <cell r="H21">
            <v>2623</v>
          </cell>
          <cell r="I21">
            <v>0.17599999999999999</v>
          </cell>
          <cell r="J21">
            <v>1796</v>
          </cell>
          <cell r="K21">
            <v>0.46800000000000003</v>
          </cell>
          <cell r="L21">
            <v>18582</v>
          </cell>
          <cell r="M21">
            <v>53.14</v>
          </cell>
          <cell r="N21">
            <v>2.5</v>
          </cell>
          <cell r="O21">
            <v>18.100000000000001</v>
          </cell>
          <cell r="P21">
            <v>17.899999999999999</v>
          </cell>
          <cell r="Q21">
            <v>20.65</v>
          </cell>
        </row>
        <row r="22">
          <cell r="A22">
            <v>21</v>
          </cell>
          <cell r="B22" t="str">
            <v>Glades</v>
          </cell>
          <cell r="C22" t="str">
            <v>moderate</v>
          </cell>
          <cell r="D22">
            <v>44302</v>
          </cell>
          <cell r="E22" t="str">
            <v>suppressed</v>
          </cell>
          <cell r="F22">
            <v>1748</v>
          </cell>
          <cell r="G22">
            <v>0.127</v>
          </cell>
          <cell r="H22">
            <v>1748</v>
          </cell>
          <cell r="I22">
            <v>0.14799999999999999</v>
          </cell>
          <cell r="J22">
            <v>1317</v>
          </cell>
          <cell r="K22">
            <v>0.34599999999999997</v>
          </cell>
          <cell r="L22">
            <v>13811</v>
          </cell>
          <cell r="M22">
            <v>17.12</v>
          </cell>
          <cell r="N22">
            <v>2.71</v>
          </cell>
          <cell r="O22">
            <v>19.899999999999999</v>
          </cell>
          <cell r="P22">
            <v>17</v>
          </cell>
          <cell r="Q22">
            <v>27.57</v>
          </cell>
        </row>
        <row r="23">
          <cell r="A23">
            <v>22</v>
          </cell>
          <cell r="B23" t="str">
            <v>Gulf</v>
          </cell>
          <cell r="C23" t="str">
            <v>moderate</v>
          </cell>
          <cell r="D23">
            <v>44302</v>
          </cell>
          <cell r="E23" t="str">
            <v>suppressed</v>
          </cell>
          <cell r="F23">
            <v>3049</v>
          </cell>
          <cell r="G23">
            <v>0.224</v>
          </cell>
          <cell r="H23">
            <v>3049</v>
          </cell>
          <cell r="I23">
            <v>0.27400000000000002</v>
          </cell>
          <cell r="J23">
            <v>2270</v>
          </cell>
          <cell r="K23">
            <v>0.628</v>
          </cell>
          <cell r="L23">
            <v>13639</v>
          </cell>
          <cell r="M23">
            <v>24.64</v>
          </cell>
          <cell r="N23">
            <v>2.5499999999999998</v>
          </cell>
          <cell r="O23">
            <v>11.4</v>
          </cell>
          <cell r="P23">
            <v>13.9</v>
          </cell>
          <cell r="Q23">
            <v>26.5</v>
          </cell>
        </row>
        <row r="24">
          <cell r="A24">
            <v>23</v>
          </cell>
          <cell r="B24" t="str">
            <v>Hamilton</v>
          </cell>
          <cell r="C24" t="str">
            <v>substantial</v>
          </cell>
          <cell r="D24">
            <v>44302</v>
          </cell>
          <cell r="E24" t="str">
            <v>suppressed</v>
          </cell>
          <cell r="F24">
            <v>2181</v>
          </cell>
          <cell r="G24">
            <v>0.151</v>
          </cell>
          <cell r="H24">
            <v>2181</v>
          </cell>
          <cell r="I24">
            <v>0.187</v>
          </cell>
          <cell r="J24">
            <v>1497</v>
          </cell>
          <cell r="K24">
            <v>0.56200000000000006</v>
          </cell>
          <cell r="L24">
            <v>14428</v>
          </cell>
          <cell r="M24">
            <v>28.08</v>
          </cell>
          <cell r="N24">
            <v>2.44</v>
          </cell>
          <cell r="O24">
            <v>14.3</v>
          </cell>
          <cell r="P24">
            <v>29.5</v>
          </cell>
          <cell r="Q24">
            <v>18.46</v>
          </cell>
        </row>
        <row r="25">
          <cell r="A25">
            <v>24</v>
          </cell>
          <cell r="B25" t="str">
            <v>Hardee</v>
          </cell>
          <cell r="C25" t="str">
            <v>high</v>
          </cell>
          <cell r="D25">
            <v>44302</v>
          </cell>
          <cell r="E25">
            <v>152.21</v>
          </cell>
          <cell r="F25">
            <v>3084</v>
          </cell>
          <cell r="G25">
            <v>0.114</v>
          </cell>
          <cell r="H25">
            <v>3083</v>
          </cell>
          <cell r="I25">
            <v>0.154</v>
          </cell>
          <cell r="J25">
            <v>2323</v>
          </cell>
          <cell r="K25">
            <v>0.495</v>
          </cell>
          <cell r="L25">
            <v>26937</v>
          </cell>
          <cell r="M25">
            <v>42.25</v>
          </cell>
          <cell r="N25">
            <v>3.22</v>
          </cell>
          <cell r="O25">
            <v>12.2</v>
          </cell>
          <cell r="P25">
            <v>26.7</v>
          </cell>
          <cell r="Q25">
            <v>17.43</v>
          </cell>
        </row>
        <row r="26">
          <cell r="A26">
            <v>25</v>
          </cell>
          <cell r="B26" t="str">
            <v>Hendry</v>
          </cell>
          <cell r="C26" t="str">
            <v>high</v>
          </cell>
          <cell r="D26">
            <v>44302</v>
          </cell>
          <cell r="E26">
            <v>133.26</v>
          </cell>
          <cell r="F26">
            <v>5826</v>
          </cell>
          <cell r="G26">
            <v>0.13900000000000001</v>
          </cell>
          <cell r="H26">
            <v>5823</v>
          </cell>
          <cell r="I26">
            <v>0.189</v>
          </cell>
          <cell r="J26">
            <v>3495</v>
          </cell>
          <cell r="K26">
            <v>0.60499999999999998</v>
          </cell>
          <cell r="L26">
            <v>42022</v>
          </cell>
          <cell r="M26">
            <v>36.340000000000003</v>
          </cell>
          <cell r="N26">
            <v>3.17</v>
          </cell>
          <cell r="O26">
            <v>26.2</v>
          </cell>
          <cell r="P26">
            <v>26.8</v>
          </cell>
          <cell r="Q26">
            <v>13.75</v>
          </cell>
        </row>
        <row r="27">
          <cell r="A27">
            <v>26</v>
          </cell>
          <cell r="B27" t="str">
            <v>Hernando</v>
          </cell>
          <cell r="C27" t="str">
            <v>high</v>
          </cell>
          <cell r="D27">
            <v>44302</v>
          </cell>
          <cell r="E27">
            <v>145.94</v>
          </cell>
          <cell r="F27">
            <v>41106</v>
          </cell>
          <cell r="G27">
            <v>0.21199999999999999</v>
          </cell>
          <cell r="H27">
            <v>41088</v>
          </cell>
          <cell r="I27">
            <v>0.25900000000000001</v>
          </cell>
          <cell r="J27">
            <v>30218</v>
          </cell>
          <cell r="K27">
            <v>0.56599999999999995</v>
          </cell>
          <cell r="L27">
            <v>193920</v>
          </cell>
          <cell r="M27">
            <v>410.01</v>
          </cell>
          <cell r="N27">
            <v>2.46</v>
          </cell>
          <cell r="O27">
            <v>12.6</v>
          </cell>
          <cell r="P27">
            <v>14.3</v>
          </cell>
          <cell r="Q27">
            <v>27.51</v>
          </cell>
        </row>
        <row r="28">
          <cell r="A28">
            <v>27</v>
          </cell>
          <cell r="B28" t="str">
            <v>Highlands</v>
          </cell>
          <cell r="C28" t="str">
            <v>high</v>
          </cell>
          <cell r="D28">
            <v>44302</v>
          </cell>
          <cell r="E28">
            <v>146.86000000000001</v>
          </cell>
          <cell r="F28">
            <v>23264</v>
          </cell>
          <cell r="G28">
            <v>0.219</v>
          </cell>
          <cell r="H28">
            <v>23263</v>
          </cell>
          <cell r="I28">
            <v>0.26300000000000001</v>
          </cell>
          <cell r="J28">
            <v>18987</v>
          </cell>
          <cell r="K28">
            <v>0.496</v>
          </cell>
          <cell r="L28">
            <v>106221</v>
          </cell>
          <cell r="M28">
            <v>104.38</v>
          </cell>
          <cell r="N28">
            <v>2.44</v>
          </cell>
          <cell r="O28">
            <v>12.7</v>
          </cell>
          <cell r="P28">
            <v>19.2</v>
          </cell>
          <cell r="Q28">
            <v>36.049999999999997</v>
          </cell>
        </row>
        <row r="29">
          <cell r="A29">
            <v>28</v>
          </cell>
          <cell r="B29" t="str">
            <v>Hillsborough</v>
          </cell>
          <cell r="C29" t="str">
            <v>high</v>
          </cell>
          <cell r="D29">
            <v>44302</v>
          </cell>
          <cell r="E29">
            <v>226.43</v>
          </cell>
          <cell r="F29">
            <v>289417</v>
          </cell>
          <cell r="G29">
            <v>0.19700000000000001</v>
          </cell>
          <cell r="H29">
            <v>289185</v>
          </cell>
          <cell r="I29">
            <v>0.252</v>
          </cell>
          <cell r="J29">
            <v>125864</v>
          </cell>
          <cell r="K29">
            <v>0.58799999999999997</v>
          </cell>
          <cell r="L29">
            <v>1471968</v>
          </cell>
          <cell r="M29">
            <v>1440.39</v>
          </cell>
          <cell r="N29">
            <v>2.63</v>
          </cell>
          <cell r="O29">
            <v>13</v>
          </cell>
          <cell r="P29">
            <v>15.3</v>
          </cell>
          <cell r="Q29">
            <v>14.54</v>
          </cell>
        </row>
        <row r="30">
          <cell r="A30">
            <v>29</v>
          </cell>
          <cell r="B30" t="str">
            <v>Holmes</v>
          </cell>
          <cell r="C30" t="str">
            <v>moderate</v>
          </cell>
          <cell r="D30">
            <v>44302</v>
          </cell>
          <cell r="E30" t="str">
            <v>suppressed</v>
          </cell>
          <cell r="F30">
            <v>2487</v>
          </cell>
          <cell r="G30">
            <v>0.127</v>
          </cell>
          <cell r="H30">
            <v>2486</v>
          </cell>
          <cell r="I30">
            <v>0.159</v>
          </cell>
          <cell r="J30">
            <v>1695</v>
          </cell>
          <cell r="K30">
            <v>0.432</v>
          </cell>
          <cell r="L30">
            <v>19617</v>
          </cell>
          <cell r="M30">
            <v>40.97</v>
          </cell>
          <cell r="N30">
            <v>2.5099999999999998</v>
          </cell>
          <cell r="O30">
            <v>18.899999999999999</v>
          </cell>
          <cell r="P30">
            <v>25.6</v>
          </cell>
          <cell r="Q30">
            <v>19.989999999999998</v>
          </cell>
        </row>
        <row r="31">
          <cell r="A31">
            <v>30</v>
          </cell>
          <cell r="B31" t="str">
            <v>Indian River</v>
          </cell>
          <cell r="C31" t="str">
            <v>high</v>
          </cell>
          <cell r="D31">
            <v>44302</v>
          </cell>
          <cell r="E31">
            <v>113.18</v>
          </cell>
          <cell r="F31">
            <v>45775</v>
          </cell>
          <cell r="G31">
            <v>0.28599999999999998</v>
          </cell>
          <cell r="H31">
            <v>45760</v>
          </cell>
          <cell r="I31">
            <v>0.33900000000000002</v>
          </cell>
          <cell r="J31">
            <v>35904</v>
          </cell>
          <cell r="K31">
            <v>0.66300000000000003</v>
          </cell>
          <cell r="L31">
            <v>159923</v>
          </cell>
          <cell r="M31">
            <v>318.08</v>
          </cell>
          <cell r="N31">
            <v>2.6</v>
          </cell>
          <cell r="O31">
            <v>12.1</v>
          </cell>
          <cell r="P31">
            <v>12.2</v>
          </cell>
          <cell r="Q31">
            <v>33.85</v>
          </cell>
        </row>
        <row r="32">
          <cell r="A32">
            <v>31</v>
          </cell>
          <cell r="B32" t="str">
            <v>Jackson</v>
          </cell>
          <cell r="C32" t="str">
            <v>moderate</v>
          </cell>
          <cell r="D32">
            <v>44302</v>
          </cell>
          <cell r="E32">
            <v>34.47</v>
          </cell>
          <cell r="F32">
            <v>8368</v>
          </cell>
          <cell r="G32">
            <v>0.18</v>
          </cell>
          <cell r="H32">
            <v>8367</v>
          </cell>
          <cell r="I32">
            <v>0.222</v>
          </cell>
          <cell r="J32">
            <v>5101</v>
          </cell>
          <cell r="K32">
            <v>0.53300000000000003</v>
          </cell>
          <cell r="L32">
            <v>46414</v>
          </cell>
          <cell r="M32">
            <v>50.55</v>
          </cell>
          <cell r="N32">
            <v>2.4</v>
          </cell>
          <cell r="O32">
            <v>11.3</v>
          </cell>
          <cell r="P32">
            <v>20.6</v>
          </cell>
          <cell r="Q32">
            <v>20.62</v>
          </cell>
        </row>
        <row r="33">
          <cell r="A33">
            <v>32</v>
          </cell>
          <cell r="B33" t="str">
            <v>Jefferson</v>
          </cell>
          <cell r="C33" t="str">
            <v>substantial</v>
          </cell>
          <cell r="D33">
            <v>44302</v>
          </cell>
          <cell r="E33">
            <v>70.2</v>
          </cell>
          <cell r="F33">
            <v>4364</v>
          </cell>
          <cell r="G33">
            <v>0.30599999999999999</v>
          </cell>
          <cell r="H33">
            <v>4364</v>
          </cell>
          <cell r="I33">
            <v>0.36699999999999999</v>
          </cell>
          <cell r="J33">
            <v>3174</v>
          </cell>
          <cell r="K33">
            <v>0.90400000000000003</v>
          </cell>
          <cell r="L33">
            <v>14246</v>
          </cell>
          <cell r="M33">
            <v>23.82</v>
          </cell>
          <cell r="N33">
            <v>2.04</v>
          </cell>
          <cell r="O33">
            <v>6.4</v>
          </cell>
          <cell r="P33">
            <v>14.1</v>
          </cell>
          <cell r="Q33">
            <v>24.65</v>
          </cell>
        </row>
        <row r="34">
          <cell r="A34">
            <v>33</v>
          </cell>
          <cell r="B34" t="str">
            <v>Lafayette</v>
          </cell>
          <cell r="C34" t="str">
            <v>moderate</v>
          </cell>
          <cell r="D34">
            <v>44302</v>
          </cell>
          <cell r="E34" t="str">
            <v>suppressed</v>
          </cell>
          <cell r="F34">
            <v>1282</v>
          </cell>
          <cell r="G34">
            <v>0.152</v>
          </cell>
          <cell r="H34">
            <v>1282</v>
          </cell>
          <cell r="I34">
            <v>0.19</v>
          </cell>
          <cell r="J34">
            <v>1056</v>
          </cell>
          <cell r="K34">
            <v>0.72599999999999998</v>
          </cell>
          <cell r="L34">
            <v>8422</v>
          </cell>
          <cell r="M34">
            <v>15.5</v>
          </cell>
          <cell r="N34">
            <v>3.43</v>
          </cell>
          <cell r="O34">
            <v>17.600000000000001</v>
          </cell>
          <cell r="P34">
            <v>20.100000000000001</v>
          </cell>
          <cell r="Q34">
            <v>17.28</v>
          </cell>
        </row>
        <row r="35">
          <cell r="A35">
            <v>34</v>
          </cell>
          <cell r="B35" t="str">
            <v>Lake</v>
          </cell>
          <cell r="C35" t="str">
            <v>high</v>
          </cell>
          <cell r="D35">
            <v>44302</v>
          </cell>
          <cell r="E35">
            <v>201.57</v>
          </cell>
          <cell r="F35">
            <v>98982</v>
          </cell>
          <cell r="G35">
            <v>0.27</v>
          </cell>
          <cell r="H35">
            <v>98898</v>
          </cell>
          <cell r="I35">
            <v>0.33200000000000002</v>
          </cell>
          <cell r="J35">
            <v>72715</v>
          </cell>
          <cell r="K35">
            <v>0.73199999999999998</v>
          </cell>
          <cell r="L35">
            <v>367118</v>
          </cell>
          <cell r="M35">
            <v>386.13</v>
          </cell>
          <cell r="N35">
            <v>2.5499999999999998</v>
          </cell>
          <cell r="O35">
            <v>11.6</v>
          </cell>
          <cell r="P35">
            <v>12.5</v>
          </cell>
          <cell r="Q35">
            <v>27.07</v>
          </cell>
        </row>
        <row r="36">
          <cell r="A36">
            <v>35</v>
          </cell>
          <cell r="B36" t="str">
            <v>Lee</v>
          </cell>
          <cell r="C36" t="str">
            <v>high</v>
          </cell>
          <cell r="D36">
            <v>44302</v>
          </cell>
          <cell r="E36">
            <v>205.95</v>
          </cell>
          <cell r="F36">
            <v>175187</v>
          </cell>
          <cell r="G36">
            <v>0.22700000000000001</v>
          </cell>
          <cell r="H36">
            <v>175155</v>
          </cell>
          <cell r="I36">
            <v>0.27500000000000002</v>
          </cell>
          <cell r="J36">
            <v>134500</v>
          </cell>
          <cell r="K36">
            <v>0.59899999999999998</v>
          </cell>
          <cell r="L36">
            <v>770577</v>
          </cell>
          <cell r="M36">
            <v>986.08</v>
          </cell>
          <cell r="N36">
            <v>2.61</v>
          </cell>
          <cell r="O36">
            <v>14.3</v>
          </cell>
          <cell r="P36">
            <v>14</v>
          </cell>
          <cell r="Q36">
            <v>29.15</v>
          </cell>
        </row>
        <row r="37">
          <cell r="A37">
            <v>36</v>
          </cell>
          <cell r="B37" t="str">
            <v>Leon</v>
          </cell>
          <cell r="C37" t="str">
            <v>substantial</v>
          </cell>
          <cell r="D37">
            <v>44302</v>
          </cell>
          <cell r="E37">
            <v>96.4</v>
          </cell>
          <cell r="F37">
            <v>65720</v>
          </cell>
          <cell r="G37">
            <v>0.224</v>
          </cell>
          <cell r="H37">
            <v>65643</v>
          </cell>
          <cell r="I37">
            <v>0.27500000000000002</v>
          </cell>
          <cell r="J37">
            <v>31356</v>
          </cell>
          <cell r="K37">
            <v>0.76900000000000002</v>
          </cell>
          <cell r="L37">
            <v>293582</v>
          </cell>
          <cell r="M37">
            <v>440.23</v>
          </cell>
          <cell r="N37">
            <v>2.4300000000000002</v>
          </cell>
          <cell r="O37">
            <v>8.1999999999999993</v>
          </cell>
          <cell r="P37">
            <v>20.399999999999999</v>
          </cell>
          <cell r="Q37">
            <v>13.89</v>
          </cell>
        </row>
        <row r="38">
          <cell r="A38">
            <v>37</v>
          </cell>
          <cell r="B38" t="str">
            <v>Levy</v>
          </cell>
          <cell r="C38" t="str">
            <v>high</v>
          </cell>
          <cell r="D38">
            <v>44302</v>
          </cell>
          <cell r="E38">
            <v>171.07</v>
          </cell>
          <cell r="F38">
            <v>7164</v>
          </cell>
          <cell r="G38">
            <v>0.17299999999999999</v>
          </cell>
          <cell r="H38">
            <v>7159</v>
          </cell>
          <cell r="I38">
            <v>0.214</v>
          </cell>
          <cell r="J38">
            <v>5195</v>
          </cell>
          <cell r="K38">
            <v>0.498</v>
          </cell>
          <cell r="L38">
            <v>41503</v>
          </cell>
          <cell r="M38">
            <v>37.119999999999997</v>
          </cell>
          <cell r="N38">
            <v>2.41</v>
          </cell>
          <cell r="O38">
            <v>15.5</v>
          </cell>
          <cell r="P38">
            <v>20.7</v>
          </cell>
          <cell r="Q38">
            <v>25.15</v>
          </cell>
        </row>
        <row r="39">
          <cell r="A39">
            <v>38</v>
          </cell>
          <cell r="B39" t="str">
            <v>Liberty</v>
          </cell>
          <cell r="C39" t="str">
            <v>moderate</v>
          </cell>
          <cell r="D39">
            <v>44302</v>
          </cell>
          <cell r="E39" t="str">
            <v>suppressed</v>
          </cell>
          <cell r="F39">
            <v>1156</v>
          </cell>
          <cell r="G39">
            <v>0.13800000000000001</v>
          </cell>
          <cell r="H39">
            <v>1156</v>
          </cell>
          <cell r="I39">
            <v>0.16700000000000001</v>
          </cell>
          <cell r="J39">
            <v>704</v>
          </cell>
          <cell r="K39">
            <v>0.56100000000000005</v>
          </cell>
          <cell r="L39">
            <v>8354</v>
          </cell>
          <cell r="M39">
            <v>10</v>
          </cell>
          <cell r="N39">
            <v>2.9</v>
          </cell>
          <cell r="O39">
            <v>18.5</v>
          </cell>
          <cell r="P39">
            <v>13</v>
          </cell>
          <cell r="Q39">
            <v>15.04</v>
          </cell>
        </row>
        <row r="40">
          <cell r="A40">
            <v>39</v>
          </cell>
          <cell r="B40" t="str">
            <v>Madison</v>
          </cell>
          <cell r="C40" t="str">
            <v>moderate</v>
          </cell>
          <cell r="D40">
            <v>44302</v>
          </cell>
          <cell r="E40" t="str">
            <v>suppressed</v>
          </cell>
          <cell r="F40">
            <v>3617</v>
          </cell>
          <cell r="G40">
            <v>0.19600000000000001</v>
          </cell>
          <cell r="H40">
            <v>3616</v>
          </cell>
          <cell r="I40">
            <v>0.24</v>
          </cell>
          <cell r="J40">
            <v>2383</v>
          </cell>
          <cell r="K40">
            <v>0.61099999999999999</v>
          </cell>
          <cell r="L40">
            <v>18493</v>
          </cell>
          <cell r="M40">
            <v>26.55</v>
          </cell>
          <cell r="N40">
            <v>2.4500000000000002</v>
          </cell>
          <cell r="O40">
            <v>13.1</v>
          </cell>
          <cell r="P40">
            <v>28.2</v>
          </cell>
          <cell r="Q40">
            <v>21.1</v>
          </cell>
        </row>
        <row r="41">
          <cell r="A41">
            <v>40</v>
          </cell>
          <cell r="B41" t="str">
            <v>Manatee</v>
          </cell>
          <cell r="C41" t="str">
            <v>high</v>
          </cell>
          <cell r="D41">
            <v>44302</v>
          </cell>
          <cell r="E41">
            <v>205.33</v>
          </cell>
          <cell r="F41">
            <v>94317</v>
          </cell>
          <cell r="G41">
            <v>0.23400000000000001</v>
          </cell>
          <cell r="H41">
            <v>94299</v>
          </cell>
          <cell r="I41">
            <v>0.28499999999999998</v>
          </cell>
          <cell r="J41">
            <v>69977</v>
          </cell>
          <cell r="K41">
            <v>0.61799999999999999</v>
          </cell>
          <cell r="L41">
            <v>403253</v>
          </cell>
          <cell r="M41">
            <v>542.28</v>
          </cell>
          <cell r="N41">
            <v>2.57</v>
          </cell>
          <cell r="O41">
            <v>12.7</v>
          </cell>
          <cell r="P41">
            <v>12.5</v>
          </cell>
          <cell r="Q41">
            <v>28.06</v>
          </cell>
        </row>
        <row r="42">
          <cell r="A42">
            <v>41</v>
          </cell>
          <cell r="B42" t="str">
            <v>Marion</v>
          </cell>
          <cell r="C42" t="str">
            <v>substantial</v>
          </cell>
          <cell r="D42">
            <v>44302</v>
          </cell>
          <cell r="E42">
            <v>98.47</v>
          </cell>
          <cell r="F42">
            <v>83765</v>
          </cell>
          <cell r="G42">
            <v>0.22900000000000001</v>
          </cell>
          <cell r="H42">
            <v>83745</v>
          </cell>
          <cell r="I42">
            <v>0.28100000000000003</v>
          </cell>
          <cell r="J42">
            <v>63167</v>
          </cell>
          <cell r="K42">
            <v>0.59199999999999997</v>
          </cell>
          <cell r="L42">
            <v>365579</v>
          </cell>
          <cell r="M42">
            <v>230.15</v>
          </cell>
          <cell r="N42">
            <v>2.48</v>
          </cell>
          <cell r="O42">
            <v>12.3</v>
          </cell>
          <cell r="P42">
            <v>16.600000000000001</v>
          </cell>
          <cell r="Q42">
            <v>29.18</v>
          </cell>
        </row>
        <row r="43">
          <cell r="A43">
            <v>42</v>
          </cell>
          <cell r="B43" t="str">
            <v>Martin</v>
          </cell>
          <cell r="C43" t="str">
            <v>high</v>
          </cell>
          <cell r="D43">
            <v>44302</v>
          </cell>
          <cell r="E43">
            <v>133.54</v>
          </cell>
          <cell r="F43">
            <v>45826</v>
          </cell>
          <cell r="G43">
            <v>0.28499999999999998</v>
          </cell>
          <cell r="H43">
            <v>45810</v>
          </cell>
          <cell r="I43">
            <v>0.34</v>
          </cell>
          <cell r="J43">
            <v>35657</v>
          </cell>
          <cell r="K43">
            <v>0.70199999999999996</v>
          </cell>
          <cell r="L43">
            <v>161000</v>
          </cell>
          <cell r="M43">
            <v>296.05</v>
          </cell>
          <cell r="N43">
            <v>2.41</v>
          </cell>
          <cell r="O43">
            <v>11.5</v>
          </cell>
          <cell r="P43">
            <v>10.5</v>
          </cell>
          <cell r="Q43">
            <v>31.53</v>
          </cell>
        </row>
        <row r="44">
          <cell r="A44">
            <v>43</v>
          </cell>
          <cell r="B44" t="str">
            <v>Miami-Dade</v>
          </cell>
          <cell r="C44" t="str">
            <v>high</v>
          </cell>
          <cell r="D44">
            <v>44302</v>
          </cell>
          <cell r="E44">
            <v>373.66</v>
          </cell>
          <cell r="F44">
            <v>635250</v>
          </cell>
          <cell r="G44">
            <v>0.23400000000000001</v>
          </cell>
          <cell r="H44">
            <v>634028</v>
          </cell>
          <cell r="I44">
            <v>0.29299999999999998</v>
          </cell>
          <cell r="J44">
            <v>290099</v>
          </cell>
          <cell r="K44">
            <v>0.64100000000000001</v>
          </cell>
          <cell r="L44">
            <v>2716940</v>
          </cell>
          <cell r="M44">
            <v>1430.09</v>
          </cell>
          <cell r="N44">
            <v>3.07</v>
          </cell>
          <cell r="O44">
            <v>18.100000000000001</v>
          </cell>
          <cell r="P44">
            <v>18</v>
          </cell>
          <cell r="Q44">
            <v>16.66</v>
          </cell>
        </row>
        <row r="45">
          <cell r="A45">
            <v>44</v>
          </cell>
          <cell r="B45" t="str">
            <v>Monroe</v>
          </cell>
          <cell r="C45" t="str">
            <v>high</v>
          </cell>
          <cell r="D45">
            <v>44302</v>
          </cell>
          <cell r="E45">
            <v>165.71</v>
          </cell>
          <cell r="F45">
            <v>20258</v>
          </cell>
          <cell r="G45">
            <v>0.27300000000000002</v>
          </cell>
          <cell r="H45">
            <v>20253</v>
          </cell>
          <cell r="I45">
            <v>0.32200000000000001</v>
          </cell>
          <cell r="J45">
            <v>12994</v>
          </cell>
          <cell r="K45">
            <v>0.73699999999999999</v>
          </cell>
          <cell r="L45">
            <v>74228</v>
          </cell>
          <cell r="M45">
            <v>75.510000000000005</v>
          </cell>
          <cell r="N45">
            <v>2.39</v>
          </cell>
          <cell r="O45">
            <v>17.8</v>
          </cell>
          <cell r="P45">
            <v>11.8</v>
          </cell>
          <cell r="Q45">
            <v>23.75</v>
          </cell>
        </row>
        <row r="46">
          <cell r="A46">
            <v>45</v>
          </cell>
          <cell r="B46" t="str">
            <v>Nassau</v>
          </cell>
          <cell r="C46" t="str">
            <v>substantial</v>
          </cell>
          <cell r="D46">
            <v>44302</v>
          </cell>
          <cell r="E46">
            <v>60.93</v>
          </cell>
          <cell r="F46">
            <v>23892</v>
          </cell>
          <cell r="G46">
            <v>0.27</v>
          </cell>
          <cell r="H46">
            <v>23880</v>
          </cell>
          <cell r="I46">
            <v>0.33600000000000002</v>
          </cell>
          <cell r="J46">
            <v>15462</v>
          </cell>
          <cell r="K46">
            <v>0.76400000000000001</v>
          </cell>
          <cell r="L46">
            <v>88625</v>
          </cell>
          <cell r="M46">
            <v>136.62</v>
          </cell>
          <cell r="N46">
            <v>2.5499999999999998</v>
          </cell>
          <cell r="O46">
            <v>11</v>
          </cell>
          <cell r="P46">
            <v>10.199999999999999</v>
          </cell>
          <cell r="Q46">
            <v>22.83</v>
          </cell>
        </row>
        <row r="47">
          <cell r="A47">
            <v>46</v>
          </cell>
          <cell r="B47" t="str">
            <v>Okaloosa</v>
          </cell>
          <cell r="C47" t="str">
            <v>substantial</v>
          </cell>
          <cell r="D47">
            <v>44302</v>
          </cell>
          <cell r="E47">
            <v>90.63</v>
          </cell>
          <cell r="F47">
            <v>42758</v>
          </cell>
          <cell r="G47">
            <v>0.20300000000000001</v>
          </cell>
          <cell r="H47">
            <v>42737</v>
          </cell>
          <cell r="I47">
            <v>0.26100000000000001</v>
          </cell>
          <cell r="J47">
            <v>24018</v>
          </cell>
          <cell r="K47">
            <v>0.69899999999999995</v>
          </cell>
          <cell r="L47">
            <v>210738</v>
          </cell>
          <cell r="M47">
            <v>226.55</v>
          </cell>
          <cell r="N47">
            <v>2.52</v>
          </cell>
          <cell r="O47">
            <v>12.2</v>
          </cell>
          <cell r="P47">
            <v>11.5</v>
          </cell>
          <cell r="Q47">
            <v>16.309999999999999</v>
          </cell>
        </row>
        <row r="48">
          <cell r="A48">
            <v>47</v>
          </cell>
          <cell r="B48" t="str">
            <v>Okeechobee</v>
          </cell>
          <cell r="C48" t="str">
            <v>high</v>
          </cell>
          <cell r="D48">
            <v>44302</v>
          </cell>
          <cell r="E48">
            <v>139.91999999999999</v>
          </cell>
          <cell r="F48">
            <v>6523</v>
          </cell>
          <cell r="G48">
            <v>0.155</v>
          </cell>
          <cell r="H48">
            <v>6521</v>
          </cell>
          <cell r="I48">
            <v>0.19600000000000001</v>
          </cell>
          <cell r="J48">
            <v>5134</v>
          </cell>
          <cell r="K48">
            <v>0.60499999999999998</v>
          </cell>
          <cell r="L48">
            <v>42168</v>
          </cell>
          <cell r="M48">
            <v>54.82</v>
          </cell>
          <cell r="N48">
            <v>2.73</v>
          </cell>
          <cell r="O48">
            <v>18.100000000000001</v>
          </cell>
          <cell r="P48">
            <v>22.7</v>
          </cell>
          <cell r="Q48">
            <v>20.12</v>
          </cell>
        </row>
        <row r="49">
          <cell r="A49">
            <v>48</v>
          </cell>
          <cell r="B49" t="str">
            <v>Orange</v>
          </cell>
          <cell r="C49" t="str">
            <v>high</v>
          </cell>
          <cell r="D49">
            <v>44302</v>
          </cell>
          <cell r="E49">
            <v>241.92</v>
          </cell>
          <cell r="F49">
            <v>278463</v>
          </cell>
          <cell r="G49">
            <v>0.2</v>
          </cell>
          <cell r="H49">
            <v>277847</v>
          </cell>
          <cell r="I49">
            <v>0.255</v>
          </cell>
          <cell r="J49">
            <v>113848</v>
          </cell>
          <cell r="K49">
            <v>0.66400000000000003</v>
          </cell>
          <cell r="L49">
            <v>1393452</v>
          </cell>
          <cell r="M49">
            <v>1545.08</v>
          </cell>
          <cell r="N49">
            <v>2.81</v>
          </cell>
          <cell r="O49">
            <v>14.5</v>
          </cell>
          <cell r="P49">
            <v>16.100000000000001</v>
          </cell>
          <cell r="Q49">
            <v>12.31</v>
          </cell>
        </row>
        <row r="50">
          <cell r="A50">
            <v>49</v>
          </cell>
          <cell r="B50" t="str">
            <v>Osceola</v>
          </cell>
          <cell r="C50" t="str">
            <v>high</v>
          </cell>
          <cell r="D50">
            <v>44302</v>
          </cell>
          <cell r="E50">
            <v>302.58999999999997</v>
          </cell>
          <cell r="F50">
            <v>66004</v>
          </cell>
          <cell r="G50">
            <v>0.17599999999999999</v>
          </cell>
          <cell r="H50">
            <v>65944</v>
          </cell>
          <cell r="I50">
            <v>0.23100000000000001</v>
          </cell>
          <cell r="J50">
            <v>33764</v>
          </cell>
          <cell r="K50">
            <v>0.66500000000000004</v>
          </cell>
          <cell r="L50">
            <v>375751</v>
          </cell>
          <cell r="M50">
            <v>283.04000000000002</v>
          </cell>
          <cell r="N50">
            <v>3.4</v>
          </cell>
          <cell r="O50">
            <v>15.8</v>
          </cell>
          <cell r="P50">
            <v>16.3</v>
          </cell>
          <cell r="Q50">
            <v>13.52</v>
          </cell>
        </row>
        <row r="51">
          <cell r="A51">
            <v>50</v>
          </cell>
          <cell r="B51" t="str">
            <v>Palm Beach</v>
          </cell>
          <cell r="C51" t="str">
            <v>high</v>
          </cell>
          <cell r="D51">
            <v>44302</v>
          </cell>
          <cell r="E51">
            <v>186.74</v>
          </cell>
          <cell r="F51">
            <v>367492</v>
          </cell>
          <cell r="G51">
            <v>0.246</v>
          </cell>
          <cell r="H51">
            <v>367171</v>
          </cell>
          <cell r="I51">
            <v>0.30299999999999999</v>
          </cell>
          <cell r="J51">
            <v>241777</v>
          </cell>
          <cell r="K51">
            <v>0.66300000000000003</v>
          </cell>
          <cell r="L51">
            <v>1496770</v>
          </cell>
          <cell r="M51">
            <v>761.99</v>
          </cell>
          <cell r="N51">
            <v>2.6</v>
          </cell>
          <cell r="O51">
            <v>13.6</v>
          </cell>
          <cell r="P51">
            <v>12.8</v>
          </cell>
          <cell r="Q51">
            <v>24.36</v>
          </cell>
        </row>
        <row r="52">
          <cell r="A52">
            <v>51</v>
          </cell>
          <cell r="B52" t="str">
            <v>Pasco</v>
          </cell>
          <cell r="C52" t="str">
            <v>high</v>
          </cell>
          <cell r="D52">
            <v>44302</v>
          </cell>
          <cell r="E52">
            <v>201.28</v>
          </cell>
          <cell r="F52">
            <v>114637</v>
          </cell>
          <cell r="G52">
            <v>0.20699999999999999</v>
          </cell>
          <cell r="H52">
            <v>114579</v>
          </cell>
          <cell r="I52">
            <v>0.25900000000000001</v>
          </cell>
          <cell r="J52">
            <v>73131</v>
          </cell>
          <cell r="K52">
            <v>0.58299999999999996</v>
          </cell>
          <cell r="L52">
            <v>553947</v>
          </cell>
          <cell r="M52">
            <v>741.98</v>
          </cell>
          <cell r="N52">
            <v>2.52</v>
          </cell>
          <cell r="O52">
            <v>11.8</v>
          </cell>
          <cell r="P52">
            <v>13.5</v>
          </cell>
          <cell r="Q52">
            <v>22.65</v>
          </cell>
        </row>
        <row r="53">
          <cell r="A53">
            <v>52</v>
          </cell>
          <cell r="B53" t="str">
            <v>Pinellas</v>
          </cell>
          <cell r="C53" t="str">
            <v>high</v>
          </cell>
          <cell r="D53">
            <v>44302</v>
          </cell>
          <cell r="E53">
            <v>183.28</v>
          </cell>
          <cell r="F53">
            <v>254898</v>
          </cell>
          <cell r="G53">
            <v>0.26100000000000001</v>
          </cell>
          <cell r="H53">
            <v>254753</v>
          </cell>
          <cell r="I53">
            <v>0.311</v>
          </cell>
          <cell r="J53">
            <v>156327</v>
          </cell>
          <cell r="K53">
            <v>0.63100000000000001</v>
          </cell>
          <cell r="L53">
            <v>974996</v>
          </cell>
          <cell r="M53">
            <v>3561.28</v>
          </cell>
          <cell r="N53">
            <v>2.31</v>
          </cell>
          <cell r="O53">
            <v>11.5</v>
          </cell>
          <cell r="P53">
            <v>13</v>
          </cell>
          <cell r="Q53">
            <v>25.4</v>
          </cell>
        </row>
        <row r="54">
          <cell r="A54">
            <v>53</v>
          </cell>
          <cell r="B54" t="str">
            <v>Polk</v>
          </cell>
          <cell r="C54" t="str">
            <v>high</v>
          </cell>
          <cell r="D54">
            <v>44302</v>
          </cell>
          <cell r="E54">
            <v>209.31</v>
          </cell>
          <cell r="F54">
            <v>128689</v>
          </cell>
          <cell r="G54">
            <v>0.17799999999999999</v>
          </cell>
          <cell r="H54">
            <v>128613</v>
          </cell>
          <cell r="I54">
            <v>0.22700000000000001</v>
          </cell>
          <cell r="J54">
            <v>82984</v>
          </cell>
          <cell r="K54">
            <v>0.56000000000000005</v>
          </cell>
          <cell r="L54">
            <v>724777</v>
          </cell>
          <cell r="M54">
            <v>403.21</v>
          </cell>
          <cell r="N54">
            <v>2.84</v>
          </cell>
          <cell r="O54">
            <v>13.2</v>
          </cell>
          <cell r="P54">
            <v>16.600000000000001</v>
          </cell>
          <cell r="Q54">
            <v>20.440000000000001</v>
          </cell>
        </row>
        <row r="55">
          <cell r="A55">
            <v>54</v>
          </cell>
          <cell r="B55" t="str">
            <v>Putnam</v>
          </cell>
          <cell r="C55" t="str">
            <v>high</v>
          </cell>
          <cell r="D55">
            <v>44302</v>
          </cell>
          <cell r="E55">
            <v>138.22</v>
          </cell>
          <cell r="F55">
            <v>10938</v>
          </cell>
          <cell r="G55">
            <v>0.14699999999999999</v>
          </cell>
          <cell r="H55">
            <v>10936</v>
          </cell>
          <cell r="I55">
            <v>0.186</v>
          </cell>
          <cell r="J55">
            <v>7799</v>
          </cell>
          <cell r="K55">
            <v>0.441</v>
          </cell>
          <cell r="L55">
            <v>74521</v>
          </cell>
          <cell r="M55">
            <v>102.38</v>
          </cell>
          <cell r="N55">
            <v>2.52</v>
          </cell>
          <cell r="O55">
            <v>16</v>
          </cell>
          <cell r="P55">
            <v>24.8</v>
          </cell>
          <cell r="Q55">
            <v>23.72</v>
          </cell>
        </row>
        <row r="56">
          <cell r="A56">
            <v>55</v>
          </cell>
          <cell r="B56" t="str">
            <v>Santa Rosa</v>
          </cell>
          <cell r="C56" t="str">
            <v>substantial</v>
          </cell>
          <cell r="D56">
            <v>44302</v>
          </cell>
          <cell r="E56">
            <v>62.94</v>
          </cell>
          <cell r="F56">
            <v>34103</v>
          </cell>
          <cell r="G56">
            <v>0.185</v>
          </cell>
          <cell r="H56">
            <v>34072</v>
          </cell>
          <cell r="I56">
            <v>0.23599999999999999</v>
          </cell>
          <cell r="J56">
            <v>19716</v>
          </cell>
          <cell r="K56">
            <v>0.65500000000000003</v>
          </cell>
          <cell r="L56">
            <v>184313</v>
          </cell>
          <cell r="M56">
            <v>182.06</v>
          </cell>
          <cell r="N56">
            <v>2.68</v>
          </cell>
          <cell r="O56">
            <v>10</v>
          </cell>
          <cell r="P56">
            <v>9.8000000000000007</v>
          </cell>
          <cell r="Q56">
            <v>16.34</v>
          </cell>
        </row>
        <row r="57">
          <cell r="A57">
            <v>56</v>
          </cell>
          <cell r="B57" t="str">
            <v>Sarasota</v>
          </cell>
          <cell r="C57" t="str">
            <v>high</v>
          </cell>
          <cell r="D57">
            <v>44302</v>
          </cell>
          <cell r="E57">
            <v>185.59</v>
          </cell>
          <cell r="F57">
            <v>136601</v>
          </cell>
          <cell r="G57">
            <v>0.315</v>
          </cell>
          <cell r="H57">
            <v>136540</v>
          </cell>
          <cell r="I57">
            <v>0.36599999999999999</v>
          </cell>
          <cell r="J57">
            <v>107495</v>
          </cell>
          <cell r="K57">
            <v>0.66400000000000003</v>
          </cell>
          <cell r="L57">
            <v>433742</v>
          </cell>
          <cell r="M57">
            <v>780.13</v>
          </cell>
          <cell r="N57">
            <v>2.25</v>
          </cell>
          <cell r="O57">
            <v>11.4</v>
          </cell>
          <cell r="P57">
            <v>9.6999999999999993</v>
          </cell>
          <cell r="Q57">
            <v>37.340000000000003</v>
          </cell>
        </row>
        <row r="58">
          <cell r="A58">
            <v>57</v>
          </cell>
          <cell r="B58" t="str">
            <v>Seminole</v>
          </cell>
          <cell r="C58" t="str">
            <v>high</v>
          </cell>
          <cell r="D58">
            <v>44302</v>
          </cell>
          <cell r="E58">
            <v>195.2</v>
          </cell>
          <cell r="F58">
            <v>91935</v>
          </cell>
          <cell r="G58">
            <v>0.19500000000000001</v>
          </cell>
          <cell r="H58">
            <v>91801</v>
          </cell>
          <cell r="I58">
            <v>0.246</v>
          </cell>
          <cell r="J58">
            <v>46833</v>
          </cell>
          <cell r="K58">
            <v>0.621</v>
          </cell>
          <cell r="L58">
            <v>471826</v>
          </cell>
          <cell r="M58">
            <v>1525.34</v>
          </cell>
          <cell r="N58">
            <v>2.7</v>
          </cell>
          <cell r="O58">
            <v>10.4</v>
          </cell>
          <cell r="P58">
            <v>11.4</v>
          </cell>
          <cell r="Q58">
            <v>15.98</v>
          </cell>
        </row>
        <row r="59">
          <cell r="A59">
            <v>58</v>
          </cell>
          <cell r="B59" t="str">
            <v>St. Johns</v>
          </cell>
          <cell r="C59" t="str">
            <v>high</v>
          </cell>
          <cell r="D59">
            <v>44302</v>
          </cell>
          <cell r="E59">
            <v>126.95</v>
          </cell>
          <cell r="F59">
            <v>80051</v>
          </cell>
          <cell r="G59">
            <v>0.30199999999999999</v>
          </cell>
          <cell r="H59">
            <v>79934</v>
          </cell>
          <cell r="I59">
            <v>0.38500000000000001</v>
          </cell>
          <cell r="J59">
            <v>45213</v>
          </cell>
          <cell r="K59">
            <v>0.82699999999999996</v>
          </cell>
          <cell r="L59">
            <v>264672</v>
          </cell>
          <cell r="M59">
            <v>440.71</v>
          </cell>
          <cell r="N59">
            <v>2.7</v>
          </cell>
          <cell r="O59">
            <v>8.4</v>
          </cell>
          <cell r="P59">
            <v>8.4</v>
          </cell>
          <cell r="Q59">
            <v>20.65</v>
          </cell>
        </row>
        <row r="60">
          <cell r="A60">
            <v>59</v>
          </cell>
          <cell r="B60" t="str">
            <v>St. Lucie</v>
          </cell>
          <cell r="C60" t="str">
            <v>high</v>
          </cell>
          <cell r="D60">
            <v>44302</v>
          </cell>
          <cell r="E60">
            <v>152.61000000000001</v>
          </cell>
          <cell r="F60">
            <v>66650</v>
          </cell>
          <cell r="G60">
            <v>0.20300000000000001</v>
          </cell>
          <cell r="H60">
            <v>66636</v>
          </cell>
          <cell r="I60">
            <v>0.252</v>
          </cell>
          <cell r="J60">
            <v>47388</v>
          </cell>
          <cell r="K60">
            <v>0.58599999999999997</v>
          </cell>
          <cell r="L60">
            <v>328297</v>
          </cell>
          <cell r="M60">
            <v>574.29999999999995</v>
          </cell>
          <cell r="N60">
            <v>2.68</v>
          </cell>
          <cell r="O60">
            <v>14</v>
          </cell>
          <cell r="P60">
            <v>15</v>
          </cell>
          <cell r="Q60">
            <v>24.65</v>
          </cell>
        </row>
        <row r="61">
          <cell r="A61">
            <v>60</v>
          </cell>
          <cell r="B61" t="str">
            <v>Sumter</v>
          </cell>
          <cell r="C61" t="str">
            <v>substantial</v>
          </cell>
          <cell r="D61">
            <v>44302</v>
          </cell>
          <cell r="E61">
            <v>95.15</v>
          </cell>
          <cell r="F61">
            <v>67750</v>
          </cell>
          <cell r="G61">
            <v>0.51200000000000001</v>
          </cell>
          <cell r="H61">
            <v>67741</v>
          </cell>
          <cell r="I61">
            <v>0.55100000000000005</v>
          </cell>
          <cell r="J61">
            <v>60713</v>
          </cell>
          <cell r="K61">
            <v>0.78800000000000003</v>
          </cell>
          <cell r="L61">
            <v>132420</v>
          </cell>
          <cell r="M61">
            <v>237.68</v>
          </cell>
          <cell r="N61">
            <v>2.04</v>
          </cell>
          <cell r="O61">
            <v>6.2</v>
          </cell>
          <cell r="P61">
            <v>8.8000000000000007</v>
          </cell>
          <cell r="Q61">
            <v>58.17</v>
          </cell>
        </row>
        <row r="62">
          <cell r="A62">
            <v>61</v>
          </cell>
          <cell r="B62" t="str">
            <v>Suwannee</v>
          </cell>
          <cell r="C62" t="str">
            <v>substantial</v>
          </cell>
          <cell r="D62">
            <v>44302</v>
          </cell>
          <cell r="E62">
            <v>56.28</v>
          </cell>
          <cell r="F62">
            <v>7090</v>
          </cell>
          <cell r="G62">
            <v>0.16</v>
          </cell>
          <cell r="H62">
            <v>7088</v>
          </cell>
          <cell r="I62">
            <v>0.20200000000000001</v>
          </cell>
          <cell r="J62">
            <v>5152</v>
          </cell>
          <cell r="K62">
            <v>0.53400000000000003</v>
          </cell>
          <cell r="L62">
            <v>44417</v>
          </cell>
          <cell r="M62">
            <v>64.510000000000005</v>
          </cell>
          <cell r="N62">
            <v>2.81</v>
          </cell>
          <cell r="O62">
            <v>13.9</v>
          </cell>
          <cell r="P62">
            <v>17.8</v>
          </cell>
          <cell r="Q62">
            <v>21.73</v>
          </cell>
        </row>
        <row r="63">
          <cell r="A63">
            <v>62</v>
          </cell>
          <cell r="B63" t="str">
            <v>Taylor</v>
          </cell>
          <cell r="C63" t="str">
            <v>moderate</v>
          </cell>
          <cell r="D63">
            <v>44302</v>
          </cell>
          <cell r="E63" t="str">
            <v>suppressed</v>
          </cell>
          <cell r="F63">
            <v>3270</v>
          </cell>
          <cell r="G63">
            <v>0.152</v>
          </cell>
          <cell r="H63">
            <v>3269</v>
          </cell>
          <cell r="I63">
            <v>0.189</v>
          </cell>
          <cell r="J63">
            <v>2283</v>
          </cell>
          <cell r="K63">
            <v>0.505</v>
          </cell>
          <cell r="L63">
            <v>21569</v>
          </cell>
          <cell r="M63">
            <v>20.67</v>
          </cell>
          <cell r="N63">
            <v>2.4700000000000002</v>
          </cell>
          <cell r="O63">
            <v>10.9</v>
          </cell>
          <cell r="P63">
            <v>19.8</v>
          </cell>
          <cell r="Q63">
            <v>20.98</v>
          </cell>
        </row>
        <row r="64">
          <cell r="A64">
            <v>63</v>
          </cell>
          <cell r="B64" t="str">
            <v>Union</v>
          </cell>
          <cell r="C64" t="str">
            <v>substantial</v>
          </cell>
          <cell r="D64">
            <v>44302</v>
          </cell>
          <cell r="E64" t="str">
            <v>suppressed</v>
          </cell>
          <cell r="F64">
            <v>1557</v>
          </cell>
          <cell r="G64">
            <v>0.10199999999999999</v>
          </cell>
          <cell r="H64">
            <v>1557</v>
          </cell>
          <cell r="I64">
            <v>0.127</v>
          </cell>
          <cell r="J64">
            <v>1091</v>
          </cell>
          <cell r="K64">
            <v>0.47099999999999997</v>
          </cell>
          <cell r="L64">
            <v>15237</v>
          </cell>
          <cell r="M64">
            <v>62.56</v>
          </cell>
          <cell r="N64">
            <v>2.5</v>
          </cell>
          <cell r="O64">
            <v>12.4</v>
          </cell>
          <cell r="P64">
            <v>22</v>
          </cell>
          <cell r="Q64">
            <v>15.21</v>
          </cell>
        </row>
        <row r="65">
          <cell r="A65">
            <v>64</v>
          </cell>
          <cell r="B65" t="str">
            <v>Volusia</v>
          </cell>
          <cell r="C65" t="str">
            <v>high</v>
          </cell>
          <cell r="D65">
            <v>44302</v>
          </cell>
          <cell r="E65">
            <v>217.97</v>
          </cell>
          <cell r="F65">
            <v>125792</v>
          </cell>
          <cell r="G65">
            <v>0.22700000000000001</v>
          </cell>
          <cell r="H65">
            <v>125756</v>
          </cell>
          <cell r="I65">
            <v>0.27500000000000002</v>
          </cell>
          <cell r="J65">
            <v>87453</v>
          </cell>
          <cell r="K65">
            <v>0.63500000000000001</v>
          </cell>
          <cell r="L65">
            <v>553284</v>
          </cell>
          <cell r="M65">
            <v>502.42</v>
          </cell>
          <cell r="N65">
            <v>2.4300000000000002</v>
          </cell>
          <cell r="O65">
            <v>12.5</v>
          </cell>
          <cell r="P65">
            <v>15.2</v>
          </cell>
          <cell r="Q65">
            <v>24.91</v>
          </cell>
        </row>
        <row r="66">
          <cell r="A66">
            <v>65</v>
          </cell>
          <cell r="B66" t="str">
            <v>Wakulla</v>
          </cell>
          <cell r="C66" t="str">
            <v>high</v>
          </cell>
          <cell r="D66">
            <v>44302</v>
          </cell>
          <cell r="E66">
            <v>127.45</v>
          </cell>
          <cell r="F66">
            <v>6284</v>
          </cell>
          <cell r="G66">
            <v>0.186</v>
          </cell>
          <cell r="H66">
            <v>6280</v>
          </cell>
          <cell r="I66">
            <v>0.23499999999999999</v>
          </cell>
          <cell r="J66">
            <v>3855</v>
          </cell>
          <cell r="K66">
            <v>0.71799999999999997</v>
          </cell>
          <cell r="L66">
            <v>33739</v>
          </cell>
          <cell r="M66">
            <v>55.64</v>
          </cell>
          <cell r="N66">
            <v>2.56</v>
          </cell>
          <cell r="O66">
            <v>9</v>
          </cell>
          <cell r="P66">
            <v>11.5</v>
          </cell>
          <cell r="Q66">
            <v>15.9</v>
          </cell>
        </row>
        <row r="67">
          <cell r="A67">
            <v>66</v>
          </cell>
          <cell r="B67" t="str">
            <v>Walton</v>
          </cell>
          <cell r="C67" t="str">
            <v>high</v>
          </cell>
          <cell r="D67">
            <v>44302</v>
          </cell>
          <cell r="E67">
            <v>216.01</v>
          </cell>
          <cell r="F67">
            <v>13645</v>
          </cell>
          <cell r="G67">
            <v>0.184</v>
          </cell>
          <cell r="H67">
            <v>13641</v>
          </cell>
          <cell r="I67">
            <v>0.23100000000000001</v>
          </cell>
          <cell r="J67">
            <v>8826</v>
          </cell>
          <cell r="K67">
            <v>0.58899999999999997</v>
          </cell>
          <cell r="L67">
            <v>74071</v>
          </cell>
          <cell r="M67">
            <v>71.38</v>
          </cell>
          <cell r="N67">
            <v>2.42</v>
          </cell>
          <cell r="O67">
            <v>13.5</v>
          </cell>
          <cell r="P67">
            <v>14.7</v>
          </cell>
          <cell r="Q67">
            <v>20.22</v>
          </cell>
        </row>
        <row r="68">
          <cell r="A68">
            <v>67</v>
          </cell>
          <cell r="B68" t="str">
            <v>Washington</v>
          </cell>
          <cell r="C68" t="str">
            <v>substantial</v>
          </cell>
          <cell r="D68">
            <v>44302</v>
          </cell>
          <cell r="E68">
            <v>70.66</v>
          </cell>
          <cell r="F68">
            <v>2959</v>
          </cell>
          <cell r="G68">
            <v>0.11600000000000001</v>
          </cell>
          <cell r="H68">
            <v>2956</v>
          </cell>
          <cell r="I68">
            <v>0.14499999999999999</v>
          </cell>
          <cell r="J68">
            <v>1949</v>
          </cell>
          <cell r="K68">
            <v>0.44500000000000001</v>
          </cell>
          <cell r="L68">
            <v>25473</v>
          </cell>
          <cell r="M68">
            <v>43.57</v>
          </cell>
          <cell r="N68">
            <v>2.57</v>
          </cell>
          <cell r="O68">
            <v>12.8</v>
          </cell>
          <cell r="P68">
            <v>22.4</v>
          </cell>
          <cell r="Q68">
            <v>17.2</v>
          </cell>
        </row>
      </sheetData>
      <sheetData sheetId="8">
        <row r="1">
          <cell r="B1" t="str">
            <v>County</v>
          </cell>
          <cell r="C1" t="str">
            <v>Level_Of_Transmission</v>
          </cell>
          <cell r="D1" t="str">
            <v>Date_Updated</v>
          </cell>
          <cell r="E1" t="str">
            <v>Infection_Rate</v>
          </cell>
          <cell r="F1" t="str">
            <v>Vaccinated</v>
          </cell>
          <cell r="G1" t="str">
            <v>Vaccinated_Percent</v>
          </cell>
          <cell r="H1" t="str">
            <v>Over_18_Vacc</v>
          </cell>
          <cell r="I1" t="str">
            <v>Over_18_Vacc_Percent</v>
          </cell>
          <cell r="J1" t="str">
            <v>Over_65_Vacc</v>
          </cell>
          <cell r="K1" t="str">
            <v>Over_65_Vacc_Percent</v>
          </cell>
          <cell r="L1" t="str">
            <v>Total_Population</v>
          </cell>
          <cell r="M1" t="str">
            <v>Population_Density</v>
          </cell>
          <cell r="N1" t="str">
            <v>Avg_HH_Size</v>
          </cell>
          <cell r="O1" t="str">
            <v>Percent_Uninsured</v>
          </cell>
          <cell r="P1" t="str">
            <v>Poverty Rate</v>
          </cell>
          <cell r="Q1" t="str">
            <v>Over_65</v>
          </cell>
        </row>
        <row r="2">
          <cell r="A2">
            <v>1</v>
          </cell>
          <cell r="B2" t="str">
            <v>Alachua</v>
          </cell>
          <cell r="C2" t="str">
            <v>high</v>
          </cell>
          <cell r="D2">
            <v>44303</v>
          </cell>
          <cell r="E2">
            <v>106.67</v>
          </cell>
          <cell r="F2">
            <v>70226</v>
          </cell>
          <cell r="G2">
            <v>0.26100000000000001</v>
          </cell>
          <cell r="H2">
            <v>70172</v>
          </cell>
          <cell r="I2">
            <v>0.318</v>
          </cell>
          <cell r="J2">
            <v>30635</v>
          </cell>
          <cell r="K2">
            <v>0.78</v>
          </cell>
          <cell r="L2">
            <v>269043</v>
          </cell>
          <cell r="M2">
            <v>307.29000000000002</v>
          </cell>
          <cell r="N2">
            <v>2.54</v>
          </cell>
          <cell r="O2">
            <v>9.1999999999999993</v>
          </cell>
          <cell r="P2">
            <v>21.8</v>
          </cell>
          <cell r="Q2">
            <v>14.6</v>
          </cell>
        </row>
        <row r="3">
          <cell r="A3">
            <v>2</v>
          </cell>
          <cell r="B3" t="str">
            <v>Baker</v>
          </cell>
          <cell r="C3" t="str">
            <v>substantial</v>
          </cell>
          <cell r="D3">
            <v>44303</v>
          </cell>
          <cell r="E3">
            <v>82.16</v>
          </cell>
          <cell r="F3">
            <v>3461</v>
          </cell>
          <cell r="G3">
            <v>0.11799999999999999</v>
          </cell>
          <cell r="H3">
            <v>3461</v>
          </cell>
          <cell r="I3">
            <v>0.156</v>
          </cell>
          <cell r="J3">
            <v>2186</v>
          </cell>
          <cell r="K3">
            <v>0.53100000000000003</v>
          </cell>
          <cell r="L3">
            <v>29210</v>
          </cell>
          <cell r="M3">
            <v>49.91</v>
          </cell>
          <cell r="N3">
            <v>2.92</v>
          </cell>
          <cell r="O3">
            <v>12.5</v>
          </cell>
          <cell r="P3">
            <v>14.6</v>
          </cell>
          <cell r="Q3">
            <v>14.09</v>
          </cell>
        </row>
        <row r="4">
          <cell r="A4">
            <v>3</v>
          </cell>
          <cell r="B4" t="str">
            <v>Bay</v>
          </cell>
          <cell r="C4" t="str">
            <v>substantial</v>
          </cell>
          <cell r="D4">
            <v>44303</v>
          </cell>
          <cell r="E4">
            <v>99.02</v>
          </cell>
          <cell r="F4">
            <v>35531</v>
          </cell>
          <cell r="G4">
            <v>0.20300000000000001</v>
          </cell>
          <cell r="H4">
            <v>35511</v>
          </cell>
          <cell r="I4">
            <v>0.25600000000000001</v>
          </cell>
          <cell r="J4">
            <v>18877</v>
          </cell>
          <cell r="K4">
            <v>0.57999999999999996</v>
          </cell>
          <cell r="L4">
            <v>174705</v>
          </cell>
          <cell r="M4">
            <v>230.3</v>
          </cell>
          <cell r="N4">
            <v>2.57</v>
          </cell>
          <cell r="O4">
            <v>14.2</v>
          </cell>
          <cell r="P4">
            <v>14.7</v>
          </cell>
          <cell r="Q4">
            <v>18.62</v>
          </cell>
        </row>
        <row r="5">
          <cell r="A5">
            <v>4</v>
          </cell>
          <cell r="B5" t="str">
            <v>Bradford</v>
          </cell>
          <cell r="C5" t="str">
            <v>substantial</v>
          </cell>
          <cell r="D5">
            <v>44303</v>
          </cell>
          <cell r="E5">
            <v>53.19</v>
          </cell>
          <cell r="F5">
            <v>3725</v>
          </cell>
          <cell r="G5">
            <v>0.13200000000000001</v>
          </cell>
          <cell r="H5">
            <v>3725</v>
          </cell>
          <cell r="I5">
            <v>0.16400000000000001</v>
          </cell>
          <cell r="J5">
            <v>2507</v>
          </cell>
          <cell r="K5">
            <v>0.495</v>
          </cell>
          <cell r="L5">
            <v>28201</v>
          </cell>
          <cell r="M5">
            <v>95.93</v>
          </cell>
          <cell r="N5">
            <v>2.6</v>
          </cell>
          <cell r="O5">
            <v>12.4</v>
          </cell>
          <cell r="P5">
            <v>20.3</v>
          </cell>
          <cell r="Q5">
            <v>17.96</v>
          </cell>
        </row>
        <row r="6">
          <cell r="A6">
            <v>5</v>
          </cell>
          <cell r="B6" t="str">
            <v>Brevard</v>
          </cell>
          <cell r="C6" t="str">
            <v>high</v>
          </cell>
          <cell r="D6">
            <v>44303</v>
          </cell>
          <cell r="E6">
            <v>146.03</v>
          </cell>
          <cell r="F6">
            <v>138912</v>
          </cell>
          <cell r="G6">
            <v>0.23100000000000001</v>
          </cell>
          <cell r="H6">
            <v>138845</v>
          </cell>
          <cell r="I6">
            <v>0.28199999999999997</v>
          </cell>
          <cell r="J6">
            <v>89084</v>
          </cell>
          <cell r="K6">
            <v>0.61099999999999999</v>
          </cell>
          <cell r="L6">
            <v>601942</v>
          </cell>
          <cell r="M6">
            <v>593.05999999999995</v>
          </cell>
          <cell r="N6">
            <v>2.4900000000000002</v>
          </cell>
          <cell r="O6">
            <v>10.8</v>
          </cell>
          <cell r="P6">
            <v>12.7</v>
          </cell>
          <cell r="Q6">
            <v>24.21</v>
          </cell>
        </row>
        <row r="7">
          <cell r="A7">
            <v>6</v>
          </cell>
          <cell r="B7" t="str">
            <v>Broward</v>
          </cell>
          <cell r="C7" t="str">
            <v>high</v>
          </cell>
          <cell r="D7">
            <v>44303</v>
          </cell>
          <cell r="E7">
            <v>272.18</v>
          </cell>
          <cell r="F7">
            <v>442872</v>
          </cell>
          <cell r="G7">
            <v>0.22700000000000001</v>
          </cell>
          <cell r="H7">
            <v>442063</v>
          </cell>
          <cell r="I7">
            <v>0.28699999999999998</v>
          </cell>
          <cell r="J7">
            <v>216070</v>
          </cell>
          <cell r="K7">
            <v>0.64600000000000002</v>
          </cell>
          <cell r="L7">
            <v>1952778</v>
          </cell>
          <cell r="M7">
            <v>1623.5</v>
          </cell>
          <cell r="N7">
            <v>2.77</v>
          </cell>
          <cell r="O7">
            <v>14.6</v>
          </cell>
          <cell r="P7">
            <v>13.5</v>
          </cell>
          <cell r="Q7">
            <v>17.13</v>
          </cell>
        </row>
        <row r="8">
          <cell r="A8">
            <v>7</v>
          </cell>
          <cell r="B8" t="str">
            <v>Calhoun</v>
          </cell>
          <cell r="C8" t="str">
            <v>moderate</v>
          </cell>
          <cell r="D8">
            <v>44303</v>
          </cell>
          <cell r="E8" t="str">
            <v>suppressed</v>
          </cell>
          <cell r="F8">
            <v>2091</v>
          </cell>
          <cell r="G8">
            <v>0.14799999999999999</v>
          </cell>
          <cell r="H8">
            <v>2091</v>
          </cell>
          <cell r="I8">
            <v>0.185</v>
          </cell>
          <cell r="J8">
            <v>1393</v>
          </cell>
          <cell r="K8">
            <v>0.52200000000000002</v>
          </cell>
          <cell r="L8">
            <v>14105</v>
          </cell>
          <cell r="M8">
            <v>24.86</v>
          </cell>
          <cell r="N8">
            <v>2.73</v>
          </cell>
          <cell r="O8">
            <v>18.3</v>
          </cell>
          <cell r="P8">
            <v>12.2</v>
          </cell>
          <cell r="Q8">
            <v>18.93</v>
          </cell>
        </row>
        <row r="9">
          <cell r="A9">
            <v>8</v>
          </cell>
          <cell r="B9" t="str">
            <v>Charlotte</v>
          </cell>
          <cell r="C9" t="str">
            <v>high</v>
          </cell>
          <cell r="D9">
            <v>44303</v>
          </cell>
          <cell r="E9">
            <v>155.63</v>
          </cell>
          <cell r="F9">
            <v>62174</v>
          </cell>
          <cell r="G9">
            <v>0.32900000000000001</v>
          </cell>
          <cell r="H9">
            <v>62148</v>
          </cell>
          <cell r="I9">
            <v>0.373</v>
          </cell>
          <cell r="J9">
            <v>50064</v>
          </cell>
          <cell r="K9">
            <v>0.65</v>
          </cell>
          <cell r="L9">
            <v>188910</v>
          </cell>
          <cell r="M9">
            <v>277.36</v>
          </cell>
          <cell r="N9">
            <v>2.2799999999999998</v>
          </cell>
          <cell r="O9">
            <v>11.3</v>
          </cell>
          <cell r="P9">
            <v>11.1</v>
          </cell>
          <cell r="Q9">
            <v>40.799999999999997</v>
          </cell>
        </row>
        <row r="10">
          <cell r="A10">
            <v>9</v>
          </cell>
          <cell r="B10" t="str">
            <v>Citrus</v>
          </cell>
          <cell r="C10" t="str">
            <v>substantial</v>
          </cell>
          <cell r="D10">
            <v>44303</v>
          </cell>
          <cell r="E10">
            <v>93.55</v>
          </cell>
          <cell r="F10">
            <v>39544</v>
          </cell>
          <cell r="G10">
            <v>0.26400000000000001</v>
          </cell>
          <cell r="H10">
            <v>39538</v>
          </cell>
          <cell r="I10">
            <v>0.31</v>
          </cell>
          <cell r="J10">
            <v>32417</v>
          </cell>
          <cell r="K10">
            <v>0.59</v>
          </cell>
          <cell r="L10">
            <v>149657</v>
          </cell>
          <cell r="M10">
            <v>257.18</v>
          </cell>
          <cell r="N10">
            <v>2.2400000000000002</v>
          </cell>
          <cell r="O10">
            <v>10.4</v>
          </cell>
          <cell r="P10">
            <v>16.7</v>
          </cell>
          <cell r="Q10">
            <v>36.71</v>
          </cell>
        </row>
        <row r="11">
          <cell r="A11">
            <v>10</v>
          </cell>
          <cell r="B11" t="str">
            <v>Clay</v>
          </cell>
          <cell r="C11" t="str">
            <v>high</v>
          </cell>
          <cell r="D11">
            <v>44303</v>
          </cell>
          <cell r="E11">
            <v>103.08</v>
          </cell>
          <cell r="F11">
            <v>37754</v>
          </cell>
          <cell r="G11">
            <v>0.17199999999999999</v>
          </cell>
          <cell r="H11">
            <v>37725</v>
          </cell>
          <cell r="I11">
            <v>0.223</v>
          </cell>
          <cell r="J11">
            <v>20406</v>
          </cell>
          <cell r="K11">
            <v>0.56899999999999995</v>
          </cell>
          <cell r="L11">
            <v>219252</v>
          </cell>
          <cell r="M11">
            <v>362.63</v>
          </cell>
          <cell r="N11">
            <v>2.81</v>
          </cell>
          <cell r="O11">
            <v>10.4</v>
          </cell>
          <cell r="P11">
            <v>10.6</v>
          </cell>
          <cell r="Q11">
            <v>16.350000000000001</v>
          </cell>
        </row>
        <row r="12">
          <cell r="A12">
            <v>11</v>
          </cell>
          <cell r="B12" t="str">
            <v>Collier</v>
          </cell>
          <cell r="C12" t="str">
            <v>high</v>
          </cell>
          <cell r="D12">
            <v>44303</v>
          </cell>
          <cell r="E12">
            <v>180.83</v>
          </cell>
          <cell r="F12">
            <v>114820</v>
          </cell>
          <cell r="G12">
            <v>0.29799999999999999</v>
          </cell>
          <cell r="H12">
            <v>114786</v>
          </cell>
          <cell r="I12">
            <v>0.35899999999999999</v>
          </cell>
          <cell r="J12">
            <v>89089</v>
          </cell>
          <cell r="K12">
            <v>0.70299999999999996</v>
          </cell>
          <cell r="L12">
            <v>384902</v>
          </cell>
          <cell r="M12">
            <v>192.75</v>
          </cell>
          <cell r="N12">
            <v>2.5499999999999998</v>
          </cell>
          <cell r="O12">
            <v>16.5</v>
          </cell>
          <cell r="P12">
            <v>12.3</v>
          </cell>
          <cell r="Q12">
            <v>32.92</v>
          </cell>
        </row>
        <row r="13">
          <cell r="A13">
            <v>12</v>
          </cell>
          <cell r="B13" t="str">
            <v>Columbia</v>
          </cell>
          <cell r="C13" t="str">
            <v>substantial</v>
          </cell>
          <cell r="D13">
            <v>44303</v>
          </cell>
          <cell r="E13">
            <v>80.91</v>
          </cell>
          <cell r="F13">
            <v>12118</v>
          </cell>
          <cell r="G13">
            <v>0.16900000000000001</v>
          </cell>
          <cell r="H13">
            <v>12115</v>
          </cell>
          <cell r="I13">
            <v>0.215</v>
          </cell>
          <cell r="J13">
            <v>7652</v>
          </cell>
          <cell r="K13">
            <v>0.55400000000000005</v>
          </cell>
          <cell r="L13">
            <v>71686</v>
          </cell>
          <cell r="M13">
            <v>89.88</v>
          </cell>
          <cell r="N13">
            <v>2.57</v>
          </cell>
          <cell r="O13">
            <v>12.4</v>
          </cell>
          <cell r="P13">
            <v>17.399999999999999</v>
          </cell>
          <cell r="Q13">
            <v>19.260000000000002</v>
          </cell>
        </row>
        <row r="14">
          <cell r="A14">
            <v>13</v>
          </cell>
          <cell r="B14" t="str">
            <v>DeSoto</v>
          </cell>
          <cell r="C14" t="str">
            <v>high</v>
          </cell>
          <cell r="D14">
            <v>44303</v>
          </cell>
          <cell r="E14">
            <v>184.21</v>
          </cell>
          <cell r="F14">
            <v>5808</v>
          </cell>
          <cell r="G14">
            <v>0.153</v>
          </cell>
          <cell r="H14">
            <v>5808</v>
          </cell>
          <cell r="I14">
            <v>0.188</v>
          </cell>
          <cell r="J14">
            <v>4424</v>
          </cell>
          <cell r="K14">
            <v>0.51700000000000002</v>
          </cell>
          <cell r="L14">
            <v>38001</v>
          </cell>
          <cell r="M14">
            <v>59.68</v>
          </cell>
          <cell r="N14">
            <v>2.74</v>
          </cell>
          <cell r="O14">
            <v>18.399999999999999</v>
          </cell>
          <cell r="P14">
            <v>28.5</v>
          </cell>
          <cell r="Q14">
            <v>22.52</v>
          </cell>
        </row>
        <row r="15">
          <cell r="A15">
            <v>14</v>
          </cell>
          <cell r="B15" t="str">
            <v>Dixie</v>
          </cell>
          <cell r="C15" t="str">
            <v>high</v>
          </cell>
          <cell r="D15">
            <v>44303</v>
          </cell>
          <cell r="E15">
            <v>101.03</v>
          </cell>
          <cell r="F15">
            <v>2390</v>
          </cell>
          <cell r="G15">
            <v>0.14199999999999999</v>
          </cell>
          <cell r="H15">
            <v>2390</v>
          </cell>
          <cell r="I15">
            <v>0.17399999999999999</v>
          </cell>
          <cell r="J15">
            <v>1839</v>
          </cell>
          <cell r="K15">
            <v>0.46200000000000002</v>
          </cell>
          <cell r="L15">
            <v>16826</v>
          </cell>
          <cell r="M15">
            <v>23.86</v>
          </cell>
          <cell r="N15">
            <v>2.2799999999999998</v>
          </cell>
          <cell r="O15">
            <v>17.2</v>
          </cell>
          <cell r="P15">
            <v>23.1</v>
          </cell>
          <cell r="Q15">
            <v>23.68</v>
          </cell>
        </row>
        <row r="16">
          <cell r="A16">
            <v>15</v>
          </cell>
          <cell r="B16" t="str">
            <v>Duval</v>
          </cell>
          <cell r="C16" t="str">
            <v>high</v>
          </cell>
          <cell r="D16">
            <v>44303</v>
          </cell>
          <cell r="E16">
            <v>123.83</v>
          </cell>
          <cell r="F16">
            <v>216620</v>
          </cell>
          <cell r="G16">
            <v>0.22600000000000001</v>
          </cell>
          <cell r="H16">
            <v>216418</v>
          </cell>
          <cell r="I16">
            <v>0.29199999999999998</v>
          </cell>
          <cell r="J16">
            <v>96127</v>
          </cell>
          <cell r="K16">
            <v>0.69399999999999995</v>
          </cell>
          <cell r="L16">
            <v>957755</v>
          </cell>
          <cell r="M16">
            <v>1255.8599999999999</v>
          </cell>
          <cell r="N16">
            <v>2.5499999999999998</v>
          </cell>
          <cell r="O16">
            <v>12</v>
          </cell>
          <cell r="P16">
            <v>15.5</v>
          </cell>
          <cell r="Q16">
            <v>14.47</v>
          </cell>
        </row>
        <row r="17">
          <cell r="A17">
            <v>16</v>
          </cell>
          <cell r="B17" t="str">
            <v>Escambia</v>
          </cell>
          <cell r="C17" t="str">
            <v>substantial</v>
          </cell>
          <cell r="D17">
            <v>44303</v>
          </cell>
          <cell r="E17">
            <v>92.36</v>
          </cell>
          <cell r="F17">
            <v>67586</v>
          </cell>
          <cell r="G17">
            <v>0.21199999999999999</v>
          </cell>
          <cell r="H17">
            <v>67555</v>
          </cell>
          <cell r="I17">
            <v>0.26800000000000002</v>
          </cell>
          <cell r="J17">
            <v>35283</v>
          </cell>
          <cell r="K17">
            <v>0.64700000000000002</v>
          </cell>
          <cell r="L17">
            <v>318316</v>
          </cell>
          <cell r="M17">
            <v>484.52</v>
          </cell>
          <cell r="N17">
            <v>2.4700000000000002</v>
          </cell>
          <cell r="O17">
            <v>10.199999999999999</v>
          </cell>
          <cell r="P17">
            <v>13.9</v>
          </cell>
          <cell r="Q17">
            <v>17.14</v>
          </cell>
        </row>
        <row r="18">
          <cell r="A18">
            <v>17</v>
          </cell>
          <cell r="B18" t="str">
            <v>Flagler</v>
          </cell>
          <cell r="C18" t="str">
            <v>high</v>
          </cell>
          <cell r="D18">
            <v>44303</v>
          </cell>
          <cell r="E18">
            <v>125.13</v>
          </cell>
          <cell r="F18">
            <v>32738</v>
          </cell>
          <cell r="G18">
            <v>0.28399999999999997</v>
          </cell>
          <cell r="H18">
            <v>32728</v>
          </cell>
          <cell r="I18">
            <v>0.34100000000000003</v>
          </cell>
          <cell r="J18">
            <v>24437</v>
          </cell>
          <cell r="K18">
            <v>0.68100000000000005</v>
          </cell>
          <cell r="L18">
            <v>115081</v>
          </cell>
          <cell r="M18">
            <v>237.21</v>
          </cell>
          <cell r="N18">
            <v>2.62</v>
          </cell>
          <cell r="O18">
            <v>12.7</v>
          </cell>
          <cell r="P18">
            <v>11.9</v>
          </cell>
          <cell r="Q18">
            <v>31.19</v>
          </cell>
        </row>
        <row r="19">
          <cell r="A19">
            <v>18</v>
          </cell>
          <cell r="B19" t="str">
            <v>Franklin</v>
          </cell>
          <cell r="C19" t="str">
            <v>high</v>
          </cell>
          <cell r="D19">
            <v>44303</v>
          </cell>
          <cell r="E19" t="str">
            <v>suppressed</v>
          </cell>
          <cell r="F19">
            <v>2883</v>
          </cell>
          <cell r="G19">
            <v>0.23799999999999999</v>
          </cell>
          <cell r="H19">
            <v>2883</v>
          </cell>
          <cell r="I19">
            <v>0.28100000000000003</v>
          </cell>
          <cell r="J19">
            <v>2046</v>
          </cell>
          <cell r="K19">
            <v>0.69899999999999995</v>
          </cell>
          <cell r="L19">
            <v>12125</v>
          </cell>
          <cell r="M19">
            <v>22.24</v>
          </cell>
          <cell r="N19">
            <v>2.35</v>
          </cell>
          <cell r="O19">
            <v>18.3</v>
          </cell>
          <cell r="P19">
            <v>20.7</v>
          </cell>
          <cell r="Q19">
            <v>24.13</v>
          </cell>
        </row>
        <row r="20">
          <cell r="A20">
            <v>19</v>
          </cell>
          <cell r="B20" t="str">
            <v>Gadsden</v>
          </cell>
          <cell r="C20" t="str">
            <v>substantial</v>
          </cell>
          <cell r="D20">
            <v>44303</v>
          </cell>
          <cell r="E20">
            <v>67.89</v>
          </cell>
          <cell r="F20">
            <v>11136</v>
          </cell>
          <cell r="G20">
            <v>0.24399999999999999</v>
          </cell>
          <cell r="H20">
            <v>11130</v>
          </cell>
          <cell r="I20">
            <v>0.311</v>
          </cell>
          <cell r="J20">
            <v>5884</v>
          </cell>
          <cell r="K20">
            <v>0.68899999999999995</v>
          </cell>
          <cell r="L20">
            <v>45660</v>
          </cell>
          <cell r="M20">
            <v>88.44</v>
          </cell>
          <cell r="N20">
            <v>2.4700000000000002</v>
          </cell>
          <cell r="O20">
            <v>14.9</v>
          </cell>
          <cell r="P20">
            <v>24.6</v>
          </cell>
          <cell r="Q20">
            <v>18.7</v>
          </cell>
        </row>
        <row r="21">
          <cell r="A21">
            <v>20</v>
          </cell>
          <cell r="B21" t="str">
            <v>Gilchrist</v>
          </cell>
          <cell r="C21" t="str">
            <v>high</v>
          </cell>
          <cell r="D21">
            <v>44303</v>
          </cell>
          <cell r="E21">
            <v>193.74</v>
          </cell>
          <cell r="F21">
            <v>2686</v>
          </cell>
          <cell r="G21">
            <v>0.14499999999999999</v>
          </cell>
          <cell r="H21">
            <v>2684</v>
          </cell>
          <cell r="I21">
            <v>0.18</v>
          </cell>
          <cell r="J21">
            <v>1813</v>
          </cell>
          <cell r="K21">
            <v>0.47199999999999998</v>
          </cell>
          <cell r="L21">
            <v>18582</v>
          </cell>
          <cell r="M21">
            <v>53.14</v>
          </cell>
          <cell r="N21">
            <v>2.5</v>
          </cell>
          <cell r="O21">
            <v>18.100000000000001</v>
          </cell>
          <cell r="P21">
            <v>17.899999999999999</v>
          </cell>
          <cell r="Q21">
            <v>20.65</v>
          </cell>
        </row>
        <row r="22">
          <cell r="A22">
            <v>21</v>
          </cell>
          <cell r="B22" t="str">
            <v>Glades</v>
          </cell>
          <cell r="C22" t="str">
            <v>moderate</v>
          </cell>
          <cell r="D22">
            <v>44303</v>
          </cell>
          <cell r="E22" t="str">
            <v>suppressed</v>
          </cell>
          <cell r="F22">
            <v>1770</v>
          </cell>
          <cell r="G22">
            <v>0.128</v>
          </cell>
          <cell r="H22">
            <v>1770</v>
          </cell>
          <cell r="I22">
            <v>0.15</v>
          </cell>
          <cell r="J22">
            <v>1323</v>
          </cell>
          <cell r="K22">
            <v>0.34699999999999998</v>
          </cell>
          <cell r="L22">
            <v>13811</v>
          </cell>
          <cell r="M22">
            <v>17.12</v>
          </cell>
          <cell r="N22">
            <v>2.71</v>
          </cell>
          <cell r="O22">
            <v>19.899999999999999</v>
          </cell>
          <cell r="P22">
            <v>17</v>
          </cell>
          <cell r="Q22">
            <v>27.57</v>
          </cell>
        </row>
        <row r="23">
          <cell r="A23">
            <v>22</v>
          </cell>
          <cell r="B23" t="str">
            <v>Gulf</v>
          </cell>
          <cell r="C23" t="str">
            <v>moderate</v>
          </cell>
          <cell r="D23">
            <v>44303</v>
          </cell>
          <cell r="E23" t="str">
            <v>suppressed</v>
          </cell>
          <cell r="F23">
            <v>3077</v>
          </cell>
          <cell r="G23">
            <v>0.22600000000000001</v>
          </cell>
          <cell r="H23">
            <v>3077</v>
          </cell>
          <cell r="I23">
            <v>0.27600000000000002</v>
          </cell>
          <cell r="J23">
            <v>2276</v>
          </cell>
          <cell r="K23">
            <v>0.63</v>
          </cell>
          <cell r="L23">
            <v>13639</v>
          </cell>
          <cell r="M23">
            <v>24.64</v>
          </cell>
          <cell r="N23">
            <v>2.5499999999999998</v>
          </cell>
          <cell r="O23">
            <v>11.4</v>
          </cell>
          <cell r="P23">
            <v>13.9</v>
          </cell>
          <cell r="Q23">
            <v>26.5</v>
          </cell>
        </row>
        <row r="24">
          <cell r="A24">
            <v>23</v>
          </cell>
          <cell r="B24" t="str">
            <v>Hamilton</v>
          </cell>
          <cell r="C24" t="str">
            <v>substantial</v>
          </cell>
          <cell r="D24">
            <v>44303</v>
          </cell>
          <cell r="E24" t="str">
            <v>suppressed</v>
          </cell>
          <cell r="F24">
            <v>2211</v>
          </cell>
          <cell r="G24">
            <v>0.153</v>
          </cell>
          <cell r="H24">
            <v>2211</v>
          </cell>
          <cell r="I24">
            <v>0.189</v>
          </cell>
          <cell r="J24">
            <v>1502</v>
          </cell>
          <cell r="K24">
            <v>0.56399999999999995</v>
          </cell>
          <cell r="L24">
            <v>14428</v>
          </cell>
          <cell r="M24">
            <v>28.08</v>
          </cell>
          <cell r="N24">
            <v>2.44</v>
          </cell>
          <cell r="O24">
            <v>14.3</v>
          </cell>
          <cell r="P24">
            <v>29.5</v>
          </cell>
          <cell r="Q24">
            <v>18.46</v>
          </cell>
        </row>
        <row r="25">
          <cell r="A25">
            <v>24</v>
          </cell>
          <cell r="B25" t="str">
            <v>Hardee</v>
          </cell>
          <cell r="C25" t="str">
            <v>high</v>
          </cell>
          <cell r="D25">
            <v>44303</v>
          </cell>
          <cell r="E25">
            <v>144.78</v>
          </cell>
          <cell r="F25">
            <v>3107</v>
          </cell>
          <cell r="G25">
            <v>0.115</v>
          </cell>
          <cell r="H25">
            <v>3106</v>
          </cell>
          <cell r="I25">
            <v>0.155</v>
          </cell>
          <cell r="J25">
            <v>2328</v>
          </cell>
          <cell r="K25">
            <v>0.496</v>
          </cell>
          <cell r="L25">
            <v>26937</v>
          </cell>
          <cell r="M25">
            <v>42.25</v>
          </cell>
          <cell r="N25">
            <v>3.22</v>
          </cell>
          <cell r="O25">
            <v>12.2</v>
          </cell>
          <cell r="P25">
            <v>26.7</v>
          </cell>
          <cell r="Q25">
            <v>17.43</v>
          </cell>
        </row>
        <row r="26">
          <cell r="A26">
            <v>25</v>
          </cell>
          <cell r="B26" t="str">
            <v>Hendry</v>
          </cell>
          <cell r="C26" t="str">
            <v>high</v>
          </cell>
          <cell r="D26">
            <v>44303</v>
          </cell>
          <cell r="E26">
            <v>135.63999999999999</v>
          </cell>
          <cell r="F26">
            <v>6087</v>
          </cell>
          <cell r="G26">
            <v>0.14499999999999999</v>
          </cell>
          <cell r="H26">
            <v>6084</v>
          </cell>
          <cell r="I26">
            <v>0.19800000000000001</v>
          </cell>
          <cell r="J26">
            <v>3552</v>
          </cell>
          <cell r="K26">
            <v>0.61499999999999999</v>
          </cell>
          <cell r="L26">
            <v>42022</v>
          </cell>
          <cell r="M26">
            <v>36.340000000000003</v>
          </cell>
          <cell r="N26">
            <v>3.17</v>
          </cell>
          <cell r="O26">
            <v>26.2</v>
          </cell>
          <cell r="P26">
            <v>26.8</v>
          </cell>
          <cell r="Q26">
            <v>13.75</v>
          </cell>
        </row>
        <row r="27">
          <cell r="A27">
            <v>26</v>
          </cell>
          <cell r="B27" t="str">
            <v>Hernando</v>
          </cell>
          <cell r="C27" t="str">
            <v>high</v>
          </cell>
          <cell r="D27">
            <v>44303</v>
          </cell>
          <cell r="E27">
            <v>149.55000000000001</v>
          </cell>
          <cell r="F27">
            <v>42467</v>
          </cell>
          <cell r="G27">
            <v>0.219</v>
          </cell>
          <cell r="H27">
            <v>42448</v>
          </cell>
          <cell r="I27">
            <v>0.26800000000000002</v>
          </cell>
          <cell r="J27">
            <v>30747</v>
          </cell>
          <cell r="K27">
            <v>0.57599999999999996</v>
          </cell>
          <cell r="L27">
            <v>193920</v>
          </cell>
          <cell r="M27">
            <v>410.01</v>
          </cell>
          <cell r="N27">
            <v>2.46</v>
          </cell>
          <cell r="O27">
            <v>12.6</v>
          </cell>
          <cell r="P27">
            <v>14.3</v>
          </cell>
          <cell r="Q27">
            <v>27.51</v>
          </cell>
        </row>
        <row r="28">
          <cell r="A28">
            <v>27</v>
          </cell>
          <cell r="B28" t="str">
            <v>Highlands</v>
          </cell>
          <cell r="C28" t="str">
            <v>high</v>
          </cell>
          <cell r="D28">
            <v>44303</v>
          </cell>
          <cell r="E28">
            <v>165.69</v>
          </cell>
          <cell r="F28">
            <v>23506</v>
          </cell>
          <cell r="G28">
            <v>0.221</v>
          </cell>
          <cell r="H28">
            <v>23505</v>
          </cell>
          <cell r="I28">
            <v>0.26600000000000001</v>
          </cell>
          <cell r="J28">
            <v>19074</v>
          </cell>
          <cell r="K28">
            <v>0.498</v>
          </cell>
          <cell r="L28">
            <v>106221</v>
          </cell>
          <cell r="M28">
            <v>104.38</v>
          </cell>
          <cell r="N28">
            <v>2.44</v>
          </cell>
          <cell r="O28">
            <v>12.7</v>
          </cell>
          <cell r="P28">
            <v>19.2</v>
          </cell>
          <cell r="Q28">
            <v>36.049999999999997</v>
          </cell>
        </row>
        <row r="29">
          <cell r="A29">
            <v>28</v>
          </cell>
          <cell r="B29" t="str">
            <v>Hillsborough</v>
          </cell>
          <cell r="C29" t="str">
            <v>high</v>
          </cell>
          <cell r="D29">
            <v>44303</v>
          </cell>
          <cell r="E29">
            <v>225.75</v>
          </cell>
          <cell r="F29">
            <v>295993</v>
          </cell>
          <cell r="G29">
            <v>0.20100000000000001</v>
          </cell>
          <cell r="H29">
            <v>295735</v>
          </cell>
          <cell r="I29">
            <v>0.25800000000000001</v>
          </cell>
          <cell r="J29">
            <v>126991</v>
          </cell>
          <cell r="K29">
            <v>0.59299999999999997</v>
          </cell>
          <cell r="L29">
            <v>1471968</v>
          </cell>
          <cell r="M29">
            <v>1440.39</v>
          </cell>
          <cell r="N29">
            <v>2.63</v>
          </cell>
          <cell r="O29">
            <v>13</v>
          </cell>
          <cell r="P29">
            <v>15.3</v>
          </cell>
          <cell r="Q29">
            <v>14.54</v>
          </cell>
        </row>
        <row r="30">
          <cell r="A30">
            <v>29</v>
          </cell>
          <cell r="B30" t="str">
            <v>Holmes</v>
          </cell>
          <cell r="C30" t="str">
            <v>moderate</v>
          </cell>
          <cell r="D30">
            <v>44303</v>
          </cell>
          <cell r="E30" t="str">
            <v>suppressed</v>
          </cell>
          <cell r="F30">
            <v>2525</v>
          </cell>
          <cell r="G30">
            <v>0.129</v>
          </cell>
          <cell r="H30">
            <v>2524</v>
          </cell>
          <cell r="I30">
            <v>0.16200000000000001</v>
          </cell>
          <cell r="J30">
            <v>1705</v>
          </cell>
          <cell r="K30">
            <v>0.435</v>
          </cell>
          <cell r="L30">
            <v>19617</v>
          </cell>
          <cell r="M30">
            <v>40.97</v>
          </cell>
          <cell r="N30">
            <v>2.5099999999999998</v>
          </cell>
          <cell r="O30">
            <v>18.899999999999999</v>
          </cell>
          <cell r="P30">
            <v>25.6</v>
          </cell>
          <cell r="Q30">
            <v>19.989999999999998</v>
          </cell>
        </row>
        <row r="31">
          <cell r="A31">
            <v>30</v>
          </cell>
          <cell r="B31" t="str">
            <v>Indian River</v>
          </cell>
          <cell r="C31" t="str">
            <v>high</v>
          </cell>
          <cell r="D31">
            <v>44303</v>
          </cell>
          <cell r="E31">
            <v>109.43</v>
          </cell>
          <cell r="F31">
            <v>46776</v>
          </cell>
          <cell r="G31">
            <v>0.29199999999999998</v>
          </cell>
          <cell r="H31">
            <v>46760</v>
          </cell>
          <cell r="I31">
            <v>0.34699999999999998</v>
          </cell>
          <cell r="J31">
            <v>36117</v>
          </cell>
          <cell r="K31">
            <v>0.66700000000000004</v>
          </cell>
          <cell r="L31">
            <v>159923</v>
          </cell>
          <cell r="M31">
            <v>318.08</v>
          </cell>
          <cell r="N31">
            <v>2.6</v>
          </cell>
          <cell r="O31">
            <v>12.1</v>
          </cell>
          <cell r="P31">
            <v>12.2</v>
          </cell>
          <cell r="Q31">
            <v>33.85</v>
          </cell>
        </row>
        <row r="32">
          <cell r="A32">
            <v>31</v>
          </cell>
          <cell r="B32" t="str">
            <v>Jackson</v>
          </cell>
          <cell r="C32" t="str">
            <v>moderate</v>
          </cell>
          <cell r="D32">
            <v>44303</v>
          </cell>
          <cell r="E32">
            <v>40.94</v>
          </cell>
          <cell r="F32">
            <v>8520</v>
          </cell>
          <cell r="G32">
            <v>0.184</v>
          </cell>
          <cell r="H32">
            <v>8519</v>
          </cell>
          <cell r="I32">
            <v>0.22600000000000001</v>
          </cell>
          <cell r="J32">
            <v>5152</v>
          </cell>
          <cell r="K32">
            <v>0.53800000000000003</v>
          </cell>
          <cell r="L32">
            <v>46414</v>
          </cell>
          <cell r="M32">
            <v>50.55</v>
          </cell>
          <cell r="N32">
            <v>2.4</v>
          </cell>
          <cell r="O32">
            <v>11.3</v>
          </cell>
          <cell r="P32">
            <v>20.6</v>
          </cell>
          <cell r="Q32">
            <v>20.62</v>
          </cell>
        </row>
        <row r="33">
          <cell r="A33">
            <v>32</v>
          </cell>
          <cell r="B33" t="str">
            <v>Jefferson</v>
          </cell>
          <cell r="C33" t="str">
            <v>substantial</v>
          </cell>
          <cell r="D33">
            <v>44303</v>
          </cell>
          <cell r="E33">
            <v>77.209999999999994</v>
          </cell>
          <cell r="F33">
            <v>4391</v>
          </cell>
          <cell r="G33">
            <v>0.308</v>
          </cell>
          <cell r="H33">
            <v>4391</v>
          </cell>
          <cell r="I33">
            <v>0.36899999999999999</v>
          </cell>
          <cell r="J33">
            <v>3180</v>
          </cell>
          <cell r="K33">
            <v>0.90600000000000003</v>
          </cell>
          <cell r="L33">
            <v>14246</v>
          </cell>
          <cell r="M33">
            <v>23.82</v>
          </cell>
          <cell r="N33">
            <v>2.04</v>
          </cell>
          <cell r="O33">
            <v>6.4</v>
          </cell>
          <cell r="P33">
            <v>14.1</v>
          </cell>
          <cell r="Q33">
            <v>24.65</v>
          </cell>
        </row>
        <row r="34">
          <cell r="A34">
            <v>33</v>
          </cell>
          <cell r="B34" t="str">
            <v>Lafayette</v>
          </cell>
          <cell r="C34" t="str">
            <v>moderate</v>
          </cell>
          <cell r="D34">
            <v>44303</v>
          </cell>
          <cell r="E34" t="str">
            <v>suppressed</v>
          </cell>
          <cell r="F34">
            <v>1286</v>
          </cell>
          <cell r="G34">
            <v>0.153</v>
          </cell>
          <cell r="H34">
            <v>1286</v>
          </cell>
          <cell r="I34">
            <v>0.191</v>
          </cell>
          <cell r="J34">
            <v>1058</v>
          </cell>
          <cell r="K34">
            <v>0.72699999999999998</v>
          </cell>
          <cell r="L34">
            <v>8422</v>
          </cell>
          <cell r="M34">
            <v>15.5</v>
          </cell>
          <cell r="N34">
            <v>3.43</v>
          </cell>
          <cell r="O34">
            <v>17.600000000000001</v>
          </cell>
          <cell r="P34">
            <v>20.100000000000001</v>
          </cell>
          <cell r="Q34">
            <v>17.28</v>
          </cell>
        </row>
        <row r="35">
          <cell r="A35">
            <v>34</v>
          </cell>
          <cell r="B35" t="str">
            <v>Lake</v>
          </cell>
          <cell r="C35" t="str">
            <v>high</v>
          </cell>
          <cell r="D35">
            <v>44303</v>
          </cell>
          <cell r="E35">
            <v>190.95</v>
          </cell>
          <cell r="F35">
            <v>102215</v>
          </cell>
          <cell r="G35">
            <v>0.27800000000000002</v>
          </cell>
          <cell r="H35">
            <v>102127</v>
          </cell>
          <cell r="I35">
            <v>0.34300000000000003</v>
          </cell>
          <cell r="J35">
            <v>73774</v>
          </cell>
          <cell r="K35">
            <v>0.74199999999999999</v>
          </cell>
          <cell r="L35">
            <v>367118</v>
          </cell>
          <cell r="M35">
            <v>386.13</v>
          </cell>
          <cell r="N35">
            <v>2.5499999999999998</v>
          </cell>
          <cell r="O35">
            <v>11.6</v>
          </cell>
          <cell r="P35">
            <v>12.5</v>
          </cell>
          <cell r="Q35">
            <v>27.07</v>
          </cell>
        </row>
        <row r="36">
          <cell r="A36">
            <v>35</v>
          </cell>
          <cell r="B36" t="str">
            <v>Lee</v>
          </cell>
          <cell r="C36" t="str">
            <v>high</v>
          </cell>
          <cell r="D36">
            <v>44303</v>
          </cell>
          <cell r="E36">
            <v>205.69</v>
          </cell>
          <cell r="F36">
            <v>180522</v>
          </cell>
          <cell r="G36">
            <v>0.23400000000000001</v>
          </cell>
          <cell r="H36">
            <v>180487</v>
          </cell>
          <cell r="I36">
            <v>0.28299999999999997</v>
          </cell>
          <cell r="J36">
            <v>137247</v>
          </cell>
          <cell r="K36">
            <v>0.61099999999999999</v>
          </cell>
          <cell r="L36">
            <v>770577</v>
          </cell>
          <cell r="M36">
            <v>986.08</v>
          </cell>
          <cell r="N36">
            <v>2.61</v>
          </cell>
          <cell r="O36">
            <v>14.3</v>
          </cell>
          <cell r="P36">
            <v>14</v>
          </cell>
          <cell r="Q36">
            <v>29.15</v>
          </cell>
        </row>
        <row r="37">
          <cell r="A37">
            <v>36</v>
          </cell>
          <cell r="B37" t="str">
            <v>Leon</v>
          </cell>
          <cell r="C37" t="str">
            <v>substantial</v>
          </cell>
          <cell r="D37">
            <v>44303</v>
          </cell>
          <cell r="E37">
            <v>88.22</v>
          </cell>
          <cell r="F37">
            <v>67155</v>
          </cell>
          <cell r="G37">
            <v>0.22900000000000001</v>
          </cell>
          <cell r="H37">
            <v>67072</v>
          </cell>
          <cell r="I37">
            <v>0.28100000000000003</v>
          </cell>
          <cell r="J37">
            <v>31433</v>
          </cell>
          <cell r="K37">
            <v>0.77100000000000002</v>
          </cell>
          <cell r="L37">
            <v>293582</v>
          </cell>
          <cell r="M37">
            <v>440.23</v>
          </cell>
          <cell r="N37">
            <v>2.4300000000000002</v>
          </cell>
          <cell r="O37">
            <v>8.1999999999999993</v>
          </cell>
          <cell r="P37">
            <v>20.399999999999999</v>
          </cell>
          <cell r="Q37">
            <v>13.89</v>
          </cell>
        </row>
        <row r="38">
          <cell r="A38">
            <v>37</v>
          </cell>
          <cell r="B38" t="str">
            <v>Levy</v>
          </cell>
          <cell r="C38" t="str">
            <v>high</v>
          </cell>
          <cell r="D38">
            <v>44303</v>
          </cell>
          <cell r="E38">
            <v>199.99</v>
          </cell>
          <cell r="F38">
            <v>7298</v>
          </cell>
          <cell r="G38">
            <v>0.17599999999999999</v>
          </cell>
          <cell r="H38">
            <v>7293</v>
          </cell>
          <cell r="I38">
            <v>0.218</v>
          </cell>
          <cell r="J38">
            <v>5264</v>
          </cell>
          <cell r="K38">
            <v>0.504</v>
          </cell>
          <cell r="L38">
            <v>41503</v>
          </cell>
          <cell r="M38">
            <v>37.119999999999997</v>
          </cell>
          <cell r="N38">
            <v>2.41</v>
          </cell>
          <cell r="O38">
            <v>15.5</v>
          </cell>
          <cell r="P38">
            <v>20.7</v>
          </cell>
          <cell r="Q38">
            <v>25.15</v>
          </cell>
        </row>
        <row r="39">
          <cell r="A39">
            <v>38</v>
          </cell>
          <cell r="B39" t="str">
            <v>Liberty</v>
          </cell>
          <cell r="C39" t="str">
            <v>moderate</v>
          </cell>
          <cell r="D39">
            <v>44303</v>
          </cell>
          <cell r="E39" t="str">
            <v>suppressed</v>
          </cell>
          <cell r="F39">
            <v>1165</v>
          </cell>
          <cell r="G39">
            <v>0.13900000000000001</v>
          </cell>
          <cell r="H39">
            <v>1165</v>
          </cell>
          <cell r="I39">
            <v>0.16900000000000001</v>
          </cell>
          <cell r="J39">
            <v>706</v>
          </cell>
          <cell r="K39">
            <v>0.56200000000000006</v>
          </cell>
          <cell r="L39">
            <v>8354</v>
          </cell>
          <cell r="M39">
            <v>10</v>
          </cell>
          <cell r="N39">
            <v>2.9</v>
          </cell>
          <cell r="O39">
            <v>18.5</v>
          </cell>
          <cell r="P39">
            <v>13</v>
          </cell>
          <cell r="Q39">
            <v>15.04</v>
          </cell>
        </row>
        <row r="40">
          <cell r="A40">
            <v>39</v>
          </cell>
          <cell r="B40" t="str">
            <v>Madison</v>
          </cell>
          <cell r="C40" t="str">
            <v>moderate</v>
          </cell>
          <cell r="D40">
            <v>44303</v>
          </cell>
          <cell r="E40" t="str">
            <v>suppressed</v>
          </cell>
          <cell r="F40">
            <v>3777</v>
          </cell>
          <cell r="G40">
            <v>0.20399999999999999</v>
          </cell>
          <cell r="H40">
            <v>3776</v>
          </cell>
          <cell r="I40">
            <v>0.25</v>
          </cell>
          <cell r="J40">
            <v>2425</v>
          </cell>
          <cell r="K40">
            <v>0.621</v>
          </cell>
          <cell r="L40">
            <v>18493</v>
          </cell>
          <cell r="M40">
            <v>26.55</v>
          </cell>
          <cell r="N40">
            <v>2.4500000000000002</v>
          </cell>
          <cell r="O40">
            <v>13.1</v>
          </cell>
          <cell r="P40">
            <v>28.2</v>
          </cell>
          <cell r="Q40">
            <v>21.1</v>
          </cell>
        </row>
        <row r="41">
          <cell r="A41">
            <v>40</v>
          </cell>
          <cell r="B41" t="str">
            <v>Manatee</v>
          </cell>
          <cell r="C41" t="str">
            <v>high</v>
          </cell>
          <cell r="D41">
            <v>44303</v>
          </cell>
          <cell r="E41">
            <v>208.31</v>
          </cell>
          <cell r="F41">
            <v>96589</v>
          </cell>
          <cell r="G41">
            <v>0.24</v>
          </cell>
          <cell r="H41">
            <v>96569</v>
          </cell>
          <cell r="I41">
            <v>0.29199999999999998</v>
          </cell>
          <cell r="J41">
            <v>70953</v>
          </cell>
          <cell r="K41">
            <v>0.627</v>
          </cell>
          <cell r="L41">
            <v>403253</v>
          </cell>
          <cell r="M41">
            <v>542.28</v>
          </cell>
          <cell r="N41">
            <v>2.57</v>
          </cell>
          <cell r="O41">
            <v>12.7</v>
          </cell>
          <cell r="P41">
            <v>12.5</v>
          </cell>
          <cell r="Q41">
            <v>28.06</v>
          </cell>
        </row>
        <row r="42">
          <cell r="A42">
            <v>41</v>
          </cell>
          <cell r="B42" t="str">
            <v>Marion</v>
          </cell>
          <cell r="C42" t="str">
            <v>substantial</v>
          </cell>
          <cell r="D42">
            <v>44303</v>
          </cell>
          <cell r="E42">
            <v>95.19</v>
          </cell>
          <cell r="F42">
            <v>86358</v>
          </cell>
          <cell r="G42">
            <v>0.23599999999999999</v>
          </cell>
          <cell r="H42">
            <v>86337</v>
          </cell>
          <cell r="I42">
            <v>0.28999999999999998</v>
          </cell>
          <cell r="J42">
            <v>64159</v>
          </cell>
          <cell r="K42">
            <v>0.60099999999999998</v>
          </cell>
          <cell r="L42">
            <v>365579</v>
          </cell>
          <cell r="M42">
            <v>230.15</v>
          </cell>
          <cell r="N42">
            <v>2.48</v>
          </cell>
          <cell r="O42">
            <v>12.3</v>
          </cell>
          <cell r="P42">
            <v>16.600000000000001</v>
          </cell>
          <cell r="Q42">
            <v>29.18</v>
          </cell>
        </row>
        <row r="43">
          <cell r="A43">
            <v>42</v>
          </cell>
          <cell r="B43" t="str">
            <v>Martin</v>
          </cell>
          <cell r="C43" t="str">
            <v>high</v>
          </cell>
          <cell r="D43">
            <v>44303</v>
          </cell>
          <cell r="E43">
            <v>115.53</v>
          </cell>
          <cell r="F43">
            <v>46344</v>
          </cell>
          <cell r="G43">
            <v>0.28799999999999998</v>
          </cell>
          <cell r="H43">
            <v>46325</v>
          </cell>
          <cell r="I43">
            <v>0.34300000000000003</v>
          </cell>
          <cell r="J43">
            <v>35781</v>
          </cell>
          <cell r="K43">
            <v>0.70499999999999996</v>
          </cell>
          <cell r="L43">
            <v>161000</v>
          </cell>
          <cell r="M43">
            <v>296.05</v>
          </cell>
          <cell r="N43">
            <v>2.41</v>
          </cell>
          <cell r="O43">
            <v>11.5</v>
          </cell>
          <cell r="P43">
            <v>10.5</v>
          </cell>
          <cell r="Q43">
            <v>31.53</v>
          </cell>
        </row>
        <row r="44">
          <cell r="A44">
            <v>43</v>
          </cell>
          <cell r="B44" t="str">
            <v>Miami-Dade</v>
          </cell>
          <cell r="C44" t="str">
            <v>high</v>
          </cell>
          <cell r="D44">
            <v>44303</v>
          </cell>
          <cell r="E44">
            <v>356.39</v>
          </cell>
          <cell r="F44">
            <v>660260</v>
          </cell>
          <cell r="G44">
            <v>0.24299999999999999</v>
          </cell>
          <cell r="H44">
            <v>658903</v>
          </cell>
          <cell r="I44">
            <v>0.30399999999999999</v>
          </cell>
          <cell r="J44">
            <v>294306</v>
          </cell>
          <cell r="K44">
            <v>0.65</v>
          </cell>
          <cell r="L44">
            <v>2716940</v>
          </cell>
          <cell r="M44">
            <v>1430.09</v>
          </cell>
          <cell r="N44">
            <v>3.07</v>
          </cell>
          <cell r="O44">
            <v>18.100000000000001</v>
          </cell>
          <cell r="P44">
            <v>18</v>
          </cell>
          <cell r="Q44">
            <v>16.66</v>
          </cell>
        </row>
        <row r="45">
          <cell r="A45">
            <v>44</v>
          </cell>
          <cell r="B45" t="str">
            <v>Monroe</v>
          </cell>
          <cell r="C45" t="str">
            <v>high</v>
          </cell>
          <cell r="D45">
            <v>44303</v>
          </cell>
          <cell r="E45">
            <v>161.66</v>
          </cell>
          <cell r="F45">
            <v>20755</v>
          </cell>
          <cell r="G45">
            <v>0.28000000000000003</v>
          </cell>
          <cell r="H45">
            <v>20748</v>
          </cell>
          <cell r="I45">
            <v>0.32900000000000001</v>
          </cell>
          <cell r="J45">
            <v>13113</v>
          </cell>
          <cell r="K45">
            <v>0.74399999999999999</v>
          </cell>
          <cell r="L45">
            <v>74228</v>
          </cell>
          <cell r="M45">
            <v>75.510000000000005</v>
          </cell>
          <cell r="N45">
            <v>2.39</v>
          </cell>
          <cell r="O45">
            <v>17.8</v>
          </cell>
          <cell r="P45">
            <v>11.8</v>
          </cell>
          <cell r="Q45">
            <v>23.75</v>
          </cell>
        </row>
        <row r="46">
          <cell r="A46">
            <v>45</v>
          </cell>
          <cell r="B46" t="str">
            <v>Nassau</v>
          </cell>
          <cell r="C46" t="str">
            <v>substantial</v>
          </cell>
          <cell r="D46">
            <v>44303</v>
          </cell>
          <cell r="E46">
            <v>65.44</v>
          </cell>
          <cell r="F46">
            <v>24257</v>
          </cell>
          <cell r="G46">
            <v>0.27400000000000002</v>
          </cell>
          <cell r="H46">
            <v>24244</v>
          </cell>
          <cell r="I46">
            <v>0.34100000000000003</v>
          </cell>
          <cell r="J46">
            <v>15506</v>
          </cell>
          <cell r="K46">
            <v>0.76600000000000001</v>
          </cell>
          <cell r="L46">
            <v>88625</v>
          </cell>
          <cell r="M46">
            <v>136.62</v>
          </cell>
          <cell r="N46">
            <v>2.5499999999999998</v>
          </cell>
          <cell r="O46">
            <v>11</v>
          </cell>
          <cell r="P46">
            <v>10.199999999999999</v>
          </cell>
          <cell r="Q46">
            <v>22.83</v>
          </cell>
        </row>
        <row r="47">
          <cell r="A47">
            <v>46</v>
          </cell>
          <cell r="B47" t="str">
            <v>Okaloosa</v>
          </cell>
          <cell r="C47" t="str">
            <v>substantial</v>
          </cell>
          <cell r="D47">
            <v>44303</v>
          </cell>
          <cell r="E47">
            <v>90.16</v>
          </cell>
          <cell r="F47">
            <v>44209</v>
          </cell>
          <cell r="G47">
            <v>0.21</v>
          </cell>
          <cell r="H47">
            <v>44185</v>
          </cell>
          <cell r="I47">
            <v>0.27</v>
          </cell>
          <cell r="J47">
            <v>24195</v>
          </cell>
          <cell r="K47">
            <v>0.70399999999999996</v>
          </cell>
          <cell r="L47">
            <v>210738</v>
          </cell>
          <cell r="M47">
            <v>226.55</v>
          </cell>
          <cell r="N47">
            <v>2.52</v>
          </cell>
          <cell r="O47">
            <v>12.2</v>
          </cell>
          <cell r="P47">
            <v>11.5</v>
          </cell>
          <cell r="Q47">
            <v>16.309999999999999</v>
          </cell>
        </row>
        <row r="48">
          <cell r="A48">
            <v>47</v>
          </cell>
          <cell r="B48" t="str">
            <v>Okeechobee</v>
          </cell>
          <cell r="C48" t="str">
            <v>high</v>
          </cell>
          <cell r="D48">
            <v>44303</v>
          </cell>
          <cell r="E48">
            <v>151.77000000000001</v>
          </cell>
          <cell r="F48">
            <v>6843</v>
          </cell>
          <cell r="G48">
            <v>0.16200000000000001</v>
          </cell>
          <cell r="H48">
            <v>6841</v>
          </cell>
          <cell r="I48">
            <v>0.20599999999999999</v>
          </cell>
          <cell r="J48">
            <v>5311</v>
          </cell>
          <cell r="K48">
            <v>0.626</v>
          </cell>
          <cell r="L48">
            <v>42168</v>
          </cell>
          <cell r="M48">
            <v>54.82</v>
          </cell>
          <cell r="N48">
            <v>2.73</v>
          </cell>
          <cell r="O48">
            <v>18.100000000000001</v>
          </cell>
          <cell r="P48">
            <v>22.7</v>
          </cell>
          <cell r="Q48">
            <v>20.12</v>
          </cell>
        </row>
        <row r="49">
          <cell r="A49">
            <v>48</v>
          </cell>
          <cell r="B49" t="str">
            <v>Orange</v>
          </cell>
          <cell r="C49" t="str">
            <v>high</v>
          </cell>
          <cell r="D49">
            <v>44303</v>
          </cell>
          <cell r="E49">
            <v>230.58</v>
          </cell>
          <cell r="F49">
            <v>285103</v>
          </cell>
          <cell r="G49">
            <v>0.20499999999999999</v>
          </cell>
          <cell r="H49">
            <v>284472</v>
          </cell>
          <cell r="I49">
            <v>0.26200000000000001</v>
          </cell>
          <cell r="J49">
            <v>114677</v>
          </cell>
          <cell r="K49">
            <v>0.66800000000000004</v>
          </cell>
          <cell r="L49">
            <v>1393452</v>
          </cell>
          <cell r="M49">
            <v>1545.08</v>
          </cell>
          <cell r="N49">
            <v>2.81</v>
          </cell>
          <cell r="O49">
            <v>14.5</v>
          </cell>
          <cell r="P49">
            <v>16.100000000000001</v>
          </cell>
          <cell r="Q49">
            <v>12.31</v>
          </cell>
        </row>
        <row r="50">
          <cell r="A50">
            <v>49</v>
          </cell>
          <cell r="B50" t="str">
            <v>Osceola</v>
          </cell>
          <cell r="C50" t="str">
            <v>high</v>
          </cell>
          <cell r="D50">
            <v>44303</v>
          </cell>
          <cell r="E50">
            <v>309.51</v>
          </cell>
          <cell r="F50">
            <v>68542</v>
          </cell>
          <cell r="G50">
            <v>0.182</v>
          </cell>
          <cell r="H50">
            <v>68479</v>
          </cell>
          <cell r="I50">
            <v>0.24</v>
          </cell>
          <cell r="J50">
            <v>34170</v>
          </cell>
          <cell r="K50">
            <v>0.67300000000000004</v>
          </cell>
          <cell r="L50">
            <v>375751</v>
          </cell>
          <cell r="M50">
            <v>283.04000000000002</v>
          </cell>
          <cell r="N50">
            <v>3.4</v>
          </cell>
          <cell r="O50">
            <v>15.8</v>
          </cell>
          <cell r="P50">
            <v>16.3</v>
          </cell>
          <cell r="Q50">
            <v>13.52</v>
          </cell>
        </row>
        <row r="51">
          <cell r="A51">
            <v>50</v>
          </cell>
          <cell r="B51" t="str">
            <v>Palm Beach</v>
          </cell>
          <cell r="C51" t="str">
            <v>high</v>
          </cell>
          <cell r="D51">
            <v>44303</v>
          </cell>
          <cell r="E51">
            <v>180.25</v>
          </cell>
          <cell r="F51">
            <v>375889</v>
          </cell>
          <cell r="G51">
            <v>0.251</v>
          </cell>
          <cell r="H51">
            <v>375526</v>
          </cell>
          <cell r="I51">
            <v>0.31</v>
          </cell>
          <cell r="J51">
            <v>243598</v>
          </cell>
          <cell r="K51">
            <v>0.66800000000000004</v>
          </cell>
          <cell r="L51">
            <v>1496770</v>
          </cell>
          <cell r="M51">
            <v>761.99</v>
          </cell>
          <cell r="N51">
            <v>2.6</v>
          </cell>
          <cell r="O51">
            <v>13.6</v>
          </cell>
          <cell r="P51">
            <v>12.8</v>
          </cell>
          <cell r="Q51">
            <v>24.36</v>
          </cell>
        </row>
        <row r="52">
          <cell r="A52">
            <v>51</v>
          </cell>
          <cell r="B52" t="str">
            <v>Pasco</v>
          </cell>
          <cell r="C52" t="str">
            <v>high</v>
          </cell>
          <cell r="D52">
            <v>44303</v>
          </cell>
          <cell r="E52">
            <v>198.21</v>
          </cell>
          <cell r="F52">
            <v>117187</v>
          </cell>
          <cell r="G52">
            <v>0.21199999999999999</v>
          </cell>
          <cell r="H52">
            <v>117126</v>
          </cell>
          <cell r="I52">
            <v>0.26500000000000001</v>
          </cell>
          <cell r="J52">
            <v>73886</v>
          </cell>
          <cell r="K52">
            <v>0.58899999999999997</v>
          </cell>
          <cell r="L52">
            <v>553947</v>
          </cell>
          <cell r="M52">
            <v>741.98</v>
          </cell>
          <cell r="N52">
            <v>2.52</v>
          </cell>
          <cell r="O52">
            <v>11.8</v>
          </cell>
          <cell r="P52">
            <v>13.5</v>
          </cell>
          <cell r="Q52">
            <v>22.65</v>
          </cell>
        </row>
        <row r="53">
          <cell r="A53">
            <v>52</v>
          </cell>
          <cell r="B53" t="str">
            <v>Pinellas</v>
          </cell>
          <cell r="C53" t="str">
            <v>high</v>
          </cell>
          <cell r="D53">
            <v>44303</v>
          </cell>
          <cell r="E53">
            <v>176.21</v>
          </cell>
          <cell r="F53">
            <v>262017</v>
          </cell>
          <cell r="G53">
            <v>0.26900000000000002</v>
          </cell>
          <cell r="H53">
            <v>261861</v>
          </cell>
          <cell r="I53">
            <v>0.31900000000000001</v>
          </cell>
          <cell r="J53">
            <v>158079</v>
          </cell>
          <cell r="K53">
            <v>0.63800000000000001</v>
          </cell>
          <cell r="L53">
            <v>974996</v>
          </cell>
          <cell r="M53">
            <v>3561.28</v>
          </cell>
          <cell r="N53">
            <v>2.31</v>
          </cell>
          <cell r="O53">
            <v>11.5</v>
          </cell>
          <cell r="P53">
            <v>13</v>
          </cell>
          <cell r="Q53">
            <v>25.4</v>
          </cell>
        </row>
        <row r="54">
          <cell r="A54">
            <v>53</v>
          </cell>
          <cell r="B54" t="str">
            <v>Polk</v>
          </cell>
          <cell r="C54" t="str">
            <v>high</v>
          </cell>
          <cell r="D54">
            <v>44303</v>
          </cell>
          <cell r="E54">
            <v>218.41</v>
          </cell>
          <cell r="F54">
            <v>132260</v>
          </cell>
          <cell r="G54">
            <v>0.182</v>
          </cell>
          <cell r="H54">
            <v>132181</v>
          </cell>
          <cell r="I54">
            <v>0.23400000000000001</v>
          </cell>
          <cell r="J54">
            <v>84251</v>
          </cell>
          <cell r="K54">
            <v>0.56899999999999995</v>
          </cell>
          <cell r="L54">
            <v>724777</v>
          </cell>
          <cell r="M54">
            <v>403.21</v>
          </cell>
          <cell r="N54">
            <v>2.84</v>
          </cell>
          <cell r="O54">
            <v>13.2</v>
          </cell>
          <cell r="P54">
            <v>16.600000000000001</v>
          </cell>
          <cell r="Q54">
            <v>20.440000000000001</v>
          </cell>
        </row>
        <row r="55">
          <cell r="A55">
            <v>54</v>
          </cell>
          <cell r="B55" t="str">
            <v>Putnam</v>
          </cell>
          <cell r="C55" t="str">
            <v>high</v>
          </cell>
          <cell r="D55">
            <v>44303</v>
          </cell>
          <cell r="E55">
            <v>142.24</v>
          </cell>
          <cell r="F55">
            <v>11177</v>
          </cell>
          <cell r="G55">
            <v>0.15</v>
          </cell>
          <cell r="H55">
            <v>11175</v>
          </cell>
          <cell r="I55">
            <v>0.19</v>
          </cell>
          <cell r="J55">
            <v>7873</v>
          </cell>
          <cell r="K55">
            <v>0.44500000000000001</v>
          </cell>
          <cell r="L55">
            <v>74521</v>
          </cell>
          <cell r="M55">
            <v>102.38</v>
          </cell>
          <cell r="N55">
            <v>2.52</v>
          </cell>
          <cell r="O55">
            <v>16</v>
          </cell>
          <cell r="P55">
            <v>24.8</v>
          </cell>
          <cell r="Q55">
            <v>23.72</v>
          </cell>
        </row>
        <row r="56">
          <cell r="A56">
            <v>55</v>
          </cell>
          <cell r="B56" t="str">
            <v>Santa Rosa</v>
          </cell>
          <cell r="C56" t="str">
            <v>substantial</v>
          </cell>
          <cell r="D56">
            <v>44303</v>
          </cell>
          <cell r="E56">
            <v>51</v>
          </cell>
          <cell r="F56">
            <v>34667</v>
          </cell>
          <cell r="G56">
            <v>0.188</v>
          </cell>
          <cell r="H56">
            <v>34631</v>
          </cell>
          <cell r="I56">
            <v>0.24</v>
          </cell>
          <cell r="J56">
            <v>19806</v>
          </cell>
          <cell r="K56">
            <v>0.65800000000000003</v>
          </cell>
          <cell r="L56">
            <v>184313</v>
          </cell>
          <cell r="M56">
            <v>182.06</v>
          </cell>
          <cell r="N56">
            <v>2.68</v>
          </cell>
          <cell r="O56">
            <v>10</v>
          </cell>
          <cell r="P56">
            <v>9.8000000000000007</v>
          </cell>
          <cell r="Q56">
            <v>16.34</v>
          </cell>
        </row>
        <row r="57">
          <cell r="A57">
            <v>56</v>
          </cell>
          <cell r="B57" t="str">
            <v>Sarasota</v>
          </cell>
          <cell r="C57" t="str">
            <v>high</v>
          </cell>
          <cell r="D57">
            <v>44303</v>
          </cell>
          <cell r="E57">
            <v>174.07</v>
          </cell>
          <cell r="F57">
            <v>139604</v>
          </cell>
          <cell r="G57">
            <v>0.32200000000000001</v>
          </cell>
          <cell r="H57">
            <v>139540</v>
          </cell>
          <cell r="I57">
            <v>0.374</v>
          </cell>
          <cell r="J57">
            <v>109203</v>
          </cell>
          <cell r="K57">
            <v>0.67400000000000004</v>
          </cell>
          <cell r="L57">
            <v>433742</v>
          </cell>
          <cell r="M57">
            <v>780.13</v>
          </cell>
          <cell r="N57">
            <v>2.25</v>
          </cell>
          <cell r="O57">
            <v>11.4</v>
          </cell>
          <cell r="P57">
            <v>9.6999999999999993</v>
          </cell>
          <cell r="Q57">
            <v>37.340000000000003</v>
          </cell>
        </row>
        <row r="58">
          <cell r="A58">
            <v>57</v>
          </cell>
          <cell r="B58" t="str">
            <v>Seminole</v>
          </cell>
          <cell r="C58" t="str">
            <v>high</v>
          </cell>
          <cell r="D58">
            <v>44303</v>
          </cell>
          <cell r="E58">
            <v>198.8</v>
          </cell>
          <cell r="F58">
            <v>94384</v>
          </cell>
          <cell r="G58">
            <v>0.2</v>
          </cell>
          <cell r="H58">
            <v>94242</v>
          </cell>
          <cell r="I58">
            <v>0.252</v>
          </cell>
          <cell r="J58">
            <v>47199</v>
          </cell>
          <cell r="K58">
            <v>0.626</v>
          </cell>
          <cell r="L58">
            <v>471826</v>
          </cell>
          <cell r="M58">
            <v>1525.34</v>
          </cell>
          <cell r="N58">
            <v>2.7</v>
          </cell>
          <cell r="O58">
            <v>10.4</v>
          </cell>
          <cell r="P58">
            <v>11.4</v>
          </cell>
          <cell r="Q58">
            <v>15.98</v>
          </cell>
        </row>
        <row r="59">
          <cell r="A59">
            <v>58</v>
          </cell>
          <cell r="B59" t="str">
            <v>St. Johns</v>
          </cell>
          <cell r="C59" t="str">
            <v>high</v>
          </cell>
          <cell r="D59">
            <v>44303</v>
          </cell>
          <cell r="E59">
            <v>113.73</v>
          </cell>
          <cell r="F59">
            <v>81700</v>
          </cell>
          <cell r="G59">
            <v>0.309</v>
          </cell>
          <cell r="H59">
            <v>81573</v>
          </cell>
          <cell r="I59">
            <v>0.39300000000000002</v>
          </cell>
          <cell r="J59">
            <v>45329</v>
          </cell>
          <cell r="K59">
            <v>0.82899999999999996</v>
          </cell>
          <cell r="L59">
            <v>264672</v>
          </cell>
          <cell r="M59">
            <v>440.71</v>
          </cell>
          <cell r="N59">
            <v>2.7</v>
          </cell>
          <cell r="O59">
            <v>8.4</v>
          </cell>
          <cell r="P59">
            <v>8.4</v>
          </cell>
          <cell r="Q59">
            <v>20.65</v>
          </cell>
        </row>
        <row r="60">
          <cell r="A60">
            <v>59</v>
          </cell>
          <cell r="B60" t="str">
            <v>St. Lucie</v>
          </cell>
          <cell r="C60" t="str">
            <v>high</v>
          </cell>
          <cell r="D60">
            <v>44303</v>
          </cell>
          <cell r="E60">
            <v>151.69</v>
          </cell>
          <cell r="F60">
            <v>67804</v>
          </cell>
          <cell r="G60">
            <v>0.20699999999999999</v>
          </cell>
          <cell r="H60">
            <v>67788</v>
          </cell>
          <cell r="I60">
            <v>0.25700000000000001</v>
          </cell>
          <cell r="J60">
            <v>47745</v>
          </cell>
          <cell r="K60">
            <v>0.59</v>
          </cell>
          <cell r="L60">
            <v>328297</v>
          </cell>
          <cell r="M60">
            <v>574.29999999999995</v>
          </cell>
          <cell r="N60">
            <v>2.68</v>
          </cell>
          <cell r="O60">
            <v>14</v>
          </cell>
          <cell r="P60">
            <v>15</v>
          </cell>
          <cell r="Q60">
            <v>24.65</v>
          </cell>
        </row>
        <row r="61">
          <cell r="A61">
            <v>60</v>
          </cell>
          <cell r="B61" t="str">
            <v>Sumter</v>
          </cell>
          <cell r="C61" t="str">
            <v>substantial</v>
          </cell>
          <cell r="D61">
            <v>44303</v>
          </cell>
          <cell r="E61">
            <v>94.4</v>
          </cell>
          <cell r="F61">
            <v>69438</v>
          </cell>
          <cell r="G61">
            <v>0.52400000000000002</v>
          </cell>
          <cell r="H61">
            <v>69429</v>
          </cell>
          <cell r="I61">
            <v>0.56399999999999995</v>
          </cell>
          <cell r="J61">
            <v>61198</v>
          </cell>
          <cell r="K61">
            <v>0.79400000000000004</v>
          </cell>
          <cell r="L61">
            <v>132420</v>
          </cell>
          <cell r="M61">
            <v>237.68</v>
          </cell>
          <cell r="N61">
            <v>2.04</v>
          </cell>
          <cell r="O61">
            <v>6.2</v>
          </cell>
          <cell r="P61">
            <v>8.8000000000000007</v>
          </cell>
          <cell r="Q61">
            <v>58.17</v>
          </cell>
        </row>
        <row r="62">
          <cell r="A62">
            <v>61</v>
          </cell>
          <cell r="B62" t="str">
            <v>Suwannee</v>
          </cell>
          <cell r="C62" t="str">
            <v>substantial</v>
          </cell>
          <cell r="D62">
            <v>44303</v>
          </cell>
          <cell r="E62">
            <v>58.54</v>
          </cell>
          <cell r="F62">
            <v>7190</v>
          </cell>
          <cell r="G62">
            <v>0.16200000000000001</v>
          </cell>
          <cell r="H62">
            <v>7188</v>
          </cell>
          <cell r="I62">
            <v>0.20499999999999999</v>
          </cell>
          <cell r="J62">
            <v>5175</v>
          </cell>
          <cell r="K62">
            <v>0.53600000000000003</v>
          </cell>
          <cell r="L62">
            <v>44417</v>
          </cell>
          <cell r="M62">
            <v>64.510000000000005</v>
          </cell>
          <cell r="N62">
            <v>2.81</v>
          </cell>
          <cell r="O62">
            <v>13.9</v>
          </cell>
          <cell r="P62">
            <v>17.8</v>
          </cell>
          <cell r="Q62">
            <v>21.73</v>
          </cell>
        </row>
        <row r="63">
          <cell r="A63">
            <v>62</v>
          </cell>
          <cell r="B63" t="str">
            <v>Taylor</v>
          </cell>
          <cell r="C63" t="str">
            <v>moderate</v>
          </cell>
          <cell r="D63">
            <v>44303</v>
          </cell>
          <cell r="E63" t="str">
            <v>suppressed</v>
          </cell>
          <cell r="F63">
            <v>3284</v>
          </cell>
          <cell r="G63">
            <v>0.152</v>
          </cell>
          <cell r="H63">
            <v>3283</v>
          </cell>
          <cell r="I63">
            <v>0.19</v>
          </cell>
          <cell r="J63">
            <v>2283</v>
          </cell>
          <cell r="K63">
            <v>0.505</v>
          </cell>
          <cell r="L63">
            <v>21569</v>
          </cell>
          <cell r="M63">
            <v>20.67</v>
          </cell>
          <cell r="N63">
            <v>2.4700000000000002</v>
          </cell>
          <cell r="O63">
            <v>10.9</v>
          </cell>
          <cell r="P63">
            <v>19.8</v>
          </cell>
          <cell r="Q63">
            <v>20.98</v>
          </cell>
        </row>
        <row r="64">
          <cell r="A64">
            <v>63</v>
          </cell>
          <cell r="B64" t="str">
            <v>Union</v>
          </cell>
          <cell r="C64" t="str">
            <v>substantial</v>
          </cell>
          <cell r="D64">
            <v>44303</v>
          </cell>
          <cell r="E64">
            <v>78.760000000000005</v>
          </cell>
          <cell r="F64">
            <v>1563</v>
          </cell>
          <cell r="G64">
            <v>0.10299999999999999</v>
          </cell>
          <cell r="H64">
            <v>1563</v>
          </cell>
          <cell r="I64">
            <v>0.128</v>
          </cell>
          <cell r="J64">
            <v>1091</v>
          </cell>
          <cell r="K64">
            <v>0.47099999999999997</v>
          </cell>
          <cell r="L64">
            <v>15237</v>
          </cell>
          <cell r="M64">
            <v>62.56</v>
          </cell>
          <cell r="N64">
            <v>2.5</v>
          </cell>
          <cell r="O64">
            <v>12.4</v>
          </cell>
          <cell r="P64">
            <v>22</v>
          </cell>
          <cell r="Q64">
            <v>15.21</v>
          </cell>
        </row>
        <row r="65">
          <cell r="A65">
            <v>64</v>
          </cell>
          <cell r="B65" t="str">
            <v>Volusia</v>
          </cell>
          <cell r="C65" t="str">
            <v>high</v>
          </cell>
          <cell r="D65">
            <v>44303</v>
          </cell>
          <cell r="E65">
            <v>217.43</v>
          </cell>
          <cell r="F65">
            <v>127607</v>
          </cell>
          <cell r="G65">
            <v>0.23100000000000001</v>
          </cell>
          <cell r="H65">
            <v>127566</v>
          </cell>
          <cell r="I65">
            <v>0.27900000000000003</v>
          </cell>
          <cell r="J65">
            <v>87932</v>
          </cell>
          <cell r="K65">
            <v>0.63800000000000001</v>
          </cell>
          <cell r="L65">
            <v>553284</v>
          </cell>
          <cell r="M65">
            <v>502.42</v>
          </cell>
          <cell r="N65">
            <v>2.4300000000000002</v>
          </cell>
          <cell r="O65">
            <v>12.5</v>
          </cell>
          <cell r="P65">
            <v>15.2</v>
          </cell>
          <cell r="Q65">
            <v>24.91</v>
          </cell>
        </row>
        <row r="66">
          <cell r="A66">
            <v>65</v>
          </cell>
          <cell r="B66" t="str">
            <v>Wakulla</v>
          </cell>
          <cell r="C66" t="str">
            <v>high</v>
          </cell>
          <cell r="D66">
            <v>44303</v>
          </cell>
          <cell r="E66">
            <v>124.49</v>
          </cell>
          <cell r="F66">
            <v>6355</v>
          </cell>
          <cell r="G66">
            <v>0.188</v>
          </cell>
          <cell r="H66">
            <v>6351</v>
          </cell>
          <cell r="I66">
            <v>0.23699999999999999</v>
          </cell>
          <cell r="J66">
            <v>3865</v>
          </cell>
          <cell r="K66">
            <v>0.72</v>
          </cell>
          <cell r="L66">
            <v>33739</v>
          </cell>
          <cell r="M66">
            <v>55.64</v>
          </cell>
          <cell r="N66">
            <v>2.56</v>
          </cell>
          <cell r="O66">
            <v>9</v>
          </cell>
          <cell r="P66">
            <v>11.5</v>
          </cell>
          <cell r="Q66">
            <v>15.9</v>
          </cell>
        </row>
        <row r="67">
          <cell r="A67">
            <v>66</v>
          </cell>
          <cell r="B67" t="str">
            <v>Walton</v>
          </cell>
          <cell r="C67" t="str">
            <v>high</v>
          </cell>
          <cell r="D67">
            <v>44303</v>
          </cell>
          <cell r="E67">
            <v>203.86</v>
          </cell>
          <cell r="F67">
            <v>13893</v>
          </cell>
          <cell r="G67">
            <v>0.188</v>
          </cell>
          <cell r="H67">
            <v>13889</v>
          </cell>
          <cell r="I67">
            <v>0.23499999999999999</v>
          </cell>
          <cell r="J67">
            <v>8858</v>
          </cell>
          <cell r="K67">
            <v>0.59099999999999997</v>
          </cell>
          <cell r="L67">
            <v>74071</v>
          </cell>
          <cell r="M67">
            <v>71.38</v>
          </cell>
          <cell r="N67">
            <v>2.42</v>
          </cell>
          <cell r="O67">
            <v>13.5</v>
          </cell>
          <cell r="P67">
            <v>14.7</v>
          </cell>
          <cell r="Q67">
            <v>20.22</v>
          </cell>
        </row>
        <row r="68">
          <cell r="A68">
            <v>67</v>
          </cell>
          <cell r="B68" t="str">
            <v>Washington</v>
          </cell>
          <cell r="C68" t="str">
            <v>substantial</v>
          </cell>
          <cell r="D68">
            <v>44303</v>
          </cell>
          <cell r="E68">
            <v>54.96</v>
          </cell>
          <cell r="F68">
            <v>3127</v>
          </cell>
          <cell r="G68">
            <v>0.123</v>
          </cell>
          <cell r="H68">
            <v>3124</v>
          </cell>
          <cell r="I68">
            <v>0.153</v>
          </cell>
          <cell r="J68">
            <v>2002</v>
          </cell>
          <cell r="K68">
            <v>0.45700000000000002</v>
          </cell>
          <cell r="L68">
            <v>25473</v>
          </cell>
          <cell r="M68">
            <v>43.57</v>
          </cell>
          <cell r="N68">
            <v>2.57</v>
          </cell>
          <cell r="O68">
            <v>12.8</v>
          </cell>
          <cell r="P68">
            <v>22.4</v>
          </cell>
          <cell r="Q68">
            <v>17.2</v>
          </cell>
        </row>
      </sheetData>
      <sheetData sheetId="9">
        <row r="1">
          <cell r="B1" t="str">
            <v>County</v>
          </cell>
          <cell r="C1" t="str">
            <v>Level_Of_Transmission</v>
          </cell>
          <cell r="D1" t="str">
            <v>Date_Updated</v>
          </cell>
          <cell r="E1" t="str">
            <v>Infection_Rate</v>
          </cell>
          <cell r="F1" t="str">
            <v>Vaccinated</v>
          </cell>
          <cell r="G1" t="str">
            <v>Vaccinated_Percent</v>
          </cell>
          <cell r="H1" t="str">
            <v>Over_18_Vacc</v>
          </cell>
          <cell r="I1" t="str">
            <v>Over_18_Vacc_Percent</v>
          </cell>
          <cell r="J1" t="str">
            <v>Over_65_Vacc</v>
          </cell>
          <cell r="K1" t="str">
            <v>Over_65_Vacc_Percent</v>
          </cell>
          <cell r="L1" t="str">
            <v>Total_Population</v>
          </cell>
          <cell r="M1" t="str">
            <v>Population_Density</v>
          </cell>
          <cell r="N1" t="str">
            <v>Avg_HH_Size</v>
          </cell>
          <cell r="O1" t="str">
            <v>Percent_Uninsured</v>
          </cell>
          <cell r="P1" t="str">
            <v>Poverty Rate</v>
          </cell>
          <cell r="Q1" t="str">
            <v>Over_65</v>
          </cell>
        </row>
        <row r="2">
          <cell r="A2">
            <v>1</v>
          </cell>
          <cell r="B2" t="str">
            <v>Alachua</v>
          </cell>
          <cell r="C2" t="str">
            <v>high</v>
          </cell>
          <cell r="D2">
            <v>44304</v>
          </cell>
          <cell r="E2">
            <v>106.67</v>
          </cell>
          <cell r="F2">
            <v>71698</v>
          </cell>
          <cell r="H2">
            <v>71638</v>
          </cell>
          <cell r="J2">
            <v>30828</v>
          </cell>
          <cell r="L2">
            <v>269043</v>
          </cell>
          <cell r="M2">
            <v>307.29000000000002</v>
          </cell>
          <cell r="N2">
            <v>2.54</v>
          </cell>
          <cell r="O2">
            <v>9.1999999999999993</v>
          </cell>
          <cell r="P2">
            <v>21.8</v>
          </cell>
          <cell r="Q2">
            <v>14.6</v>
          </cell>
        </row>
        <row r="3">
          <cell r="A3">
            <v>2</v>
          </cell>
          <cell r="B3" t="str">
            <v>Baker</v>
          </cell>
          <cell r="C3" t="str">
            <v>substantial</v>
          </cell>
          <cell r="D3">
            <v>44304</v>
          </cell>
          <cell r="E3">
            <v>82.16</v>
          </cell>
          <cell r="F3">
            <v>3486</v>
          </cell>
          <cell r="H3">
            <v>3486</v>
          </cell>
          <cell r="J3">
            <v>2190</v>
          </cell>
          <cell r="L3">
            <v>29210</v>
          </cell>
          <cell r="M3">
            <v>49.91</v>
          </cell>
          <cell r="N3">
            <v>2.92</v>
          </cell>
          <cell r="O3">
            <v>12.5</v>
          </cell>
          <cell r="P3">
            <v>14.6</v>
          </cell>
          <cell r="Q3">
            <v>14.09</v>
          </cell>
        </row>
        <row r="4">
          <cell r="A4">
            <v>3</v>
          </cell>
          <cell r="B4" t="str">
            <v>Bay</v>
          </cell>
          <cell r="C4" t="str">
            <v>substantial</v>
          </cell>
          <cell r="D4">
            <v>44304</v>
          </cell>
          <cell r="E4">
            <v>99.02</v>
          </cell>
          <cell r="F4">
            <v>36030</v>
          </cell>
          <cell r="H4">
            <v>36009</v>
          </cell>
          <cell r="J4">
            <v>18975</v>
          </cell>
          <cell r="L4">
            <v>174705</v>
          </cell>
          <cell r="M4">
            <v>230.3</v>
          </cell>
          <cell r="N4">
            <v>2.57</v>
          </cell>
          <cell r="O4">
            <v>14.2</v>
          </cell>
          <cell r="P4">
            <v>14.7</v>
          </cell>
          <cell r="Q4">
            <v>18.62</v>
          </cell>
        </row>
        <row r="5">
          <cell r="A5">
            <v>4</v>
          </cell>
          <cell r="B5" t="str">
            <v>Bradford</v>
          </cell>
          <cell r="C5" t="str">
            <v>substantial</v>
          </cell>
          <cell r="D5">
            <v>44304</v>
          </cell>
          <cell r="E5">
            <v>53.19</v>
          </cell>
          <cell r="F5">
            <v>3810</v>
          </cell>
          <cell r="H5">
            <v>3810</v>
          </cell>
          <cell r="J5">
            <v>2524</v>
          </cell>
          <cell r="L5">
            <v>28201</v>
          </cell>
          <cell r="M5">
            <v>95.93</v>
          </cell>
          <cell r="N5">
            <v>2.6</v>
          </cell>
          <cell r="O5">
            <v>12.4</v>
          </cell>
          <cell r="P5">
            <v>20.3</v>
          </cell>
          <cell r="Q5">
            <v>17.96</v>
          </cell>
        </row>
        <row r="6">
          <cell r="A6">
            <v>5</v>
          </cell>
          <cell r="B6" t="str">
            <v>Brevard</v>
          </cell>
          <cell r="C6" t="str">
            <v>high</v>
          </cell>
          <cell r="D6">
            <v>44304</v>
          </cell>
          <cell r="E6">
            <v>146.03</v>
          </cell>
          <cell r="F6">
            <v>141971</v>
          </cell>
          <cell r="H6">
            <v>141900</v>
          </cell>
          <cell r="J6">
            <v>89952</v>
          </cell>
          <cell r="L6">
            <v>601942</v>
          </cell>
          <cell r="M6">
            <v>593.05999999999995</v>
          </cell>
          <cell r="N6">
            <v>2.4900000000000002</v>
          </cell>
          <cell r="O6">
            <v>10.8</v>
          </cell>
          <cell r="P6">
            <v>12.7</v>
          </cell>
          <cell r="Q6">
            <v>24.21</v>
          </cell>
        </row>
        <row r="7">
          <cell r="A7">
            <v>6</v>
          </cell>
          <cell r="B7" t="str">
            <v>Broward</v>
          </cell>
          <cell r="C7" t="str">
            <v>high</v>
          </cell>
          <cell r="D7">
            <v>44304</v>
          </cell>
          <cell r="E7">
            <v>272.18</v>
          </cell>
          <cell r="F7">
            <v>451466</v>
          </cell>
          <cell r="H7">
            <v>450614</v>
          </cell>
          <cell r="J7">
            <v>217038</v>
          </cell>
          <cell r="L7">
            <v>1952778</v>
          </cell>
          <cell r="M7">
            <v>1623.5</v>
          </cell>
          <cell r="N7">
            <v>2.77</v>
          </cell>
          <cell r="O7">
            <v>14.6</v>
          </cell>
          <cell r="P7">
            <v>13.5</v>
          </cell>
          <cell r="Q7">
            <v>17.13</v>
          </cell>
        </row>
        <row r="8">
          <cell r="A8">
            <v>7</v>
          </cell>
          <cell r="B8" t="str">
            <v>Calhoun</v>
          </cell>
          <cell r="C8" t="str">
            <v>moderate</v>
          </cell>
          <cell r="D8">
            <v>44304</v>
          </cell>
          <cell r="E8" t="str">
            <v>suppressed</v>
          </cell>
          <cell r="F8">
            <v>2096</v>
          </cell>
          <cell r="H8">
            <v>2096</v>
          </cell>
          <cell r="J8">
            <v>1395</v>
          </cell>
          <cell r="L8">
            <v>14105</v>
          </cell>
          <cell r="M8">
            <v>24.86</v>
          </cell>
          <cell r="N8">
            <v>2.73</v>
          </cell>
          <cell r="O8">
            <v>18.3</v>
          </cell>
          <cell r="P8">
            <v>12.2</v>
          </cell>
          <cell r="Q8">
            <v>18.93</v>
          </cell>
        </row>
        <row r="9">
          <cell r="A9">
            <v>8</v>
          </cell>
          <cell r="B9" t="str">
            <v>Charlotte</v>
          </cell>
          <cell r="C9" t="str">
            <v>high</v>
          </cell>
          <cell r="D9">
            <v>44304</v>
          </cell>
          <cell r="E9">
            <v>155.63</v>
          </cell>
          <cell r="F9">
            <v>63016</v>
          </cell>
          <cell r="H9">
            <v>62990</v>
          </cell>
          <cell r="J9">
            <v>50471</v>
          </cell>
          <cell r="L9">
            <v>188910</v>
          </cell>
          <cell r="M9">
            <v>277.36</v>
          </cell>
          <cell r="N9">
            <v>2.2799999999999998</v>
          </cell>
          <cell r="O9">
            <v>11.3</v>
          </cell>
          <cell r="P9">
            <v>11.1</v>
          </cell>
          <cell r="Q9">
            <v>40.799999999999997</v>
          </cell>
        </row>
        <row r="10">
          <cell r="A10">
            <v>9</v>
          </cell>
          <cell r="B10" t="str">
            <v>Citrus</v>
          </cell>
          <cell r="C10" t="str">
            <v>substantial</v>
          </cell>
          <cell r="D10">
            <v>44304</v>
          </cell>
          <cell r="E10">
            <v>93.55</v>
          </cell>
          <cell r="F10">
            <v>40173</v>
          </cell>
          <cell r="H10">
            <v>40167</v>
          </cell>
          <cell r="J10">
            <v>32688</v>
          </cell>
          <cell r="L10">
            <v>149657</v>
          </cell>
          <cell r="M10">
            <v>257.18</v>
          </cell>
          <cell r="N10">
            <v>2.2400000000000002</v>
          </cell>
          <cell r="O10">
            <v>10.4</v>
          </cell>
          <cell r="P10">
            <v>16.7</v>
          </cell>
          <cell r="Q10">
            <v>36.71</v>
          </cell>
        </row>
        <row r="11">
          <cell r="A11">
            <v>10</v>
          </cell>
          <cell r="B11" t="str">
            <v>Clay</v>
          </cell>
          <cell r="C11" t="str">
            <v>high</v>
          </cell>
          <cell r="D11">
            <v>44304</v>
          </cell>
          <cell r="E11">
            <v>103.08</v>
          </cell>
          <cell r="F11">
            <v>38335</v>
          </cell>
          <cell r="H11">
            <v>38303</v>
          </cell>
          <cell r="J11">
            <v>20483</v>
          </cell>
          <cell r="L11">
            <v>219252</v>
          </cell>
          <cell r="M11">
            <v>362.63</v>
          </cell>
          <cell r="N11">
            <v>2.81</v>
          </cell>
          <cell r="O11">
            <v>10.4</v>
          </cell>
          <cell r="P11">
            <v>10.6</v>
          </cell>
          <cell r="Q11">
            <v>16.350000000000001</v>
          </cell>
        </row>
        <row r="12">
          <cell r="A12">
            <v>11</v>
          </cell>
          <cell r="B12" t="str">
            <v>Collier</v>
          </cell>
          <cell r="C12" t="str">
            <v>high</v>
          </cell>
          <cell r="D12">
            <v>44304</v>
          </cell>
          <cell r="E12">
            <v>180.83</v>
          </cell>
          <cell r="F12">
            <v>116949</v>
          </cell>
          <cell r="H12">
            <v>116915</v>
          </cell>
          <cell r="J12">
            <v>90018</v>
          </cell>
          <cell r="L12">
            <v>384902</v>
          </cell>
          <cell r="M12">
            <v>192.75</v>
          </cell>
          <cell r="N12">
            <v>2.5499999999999998</v>
          </cell>
          <cell r="O12">
            <v>16.5</v>
          </cell>
          <cell r="P12">
            <v>12.3</v>
          </cell>
          <cell r="Q12">
            <v>32.92</v>
          </cell>
        </row>
        <row r="13">
          <cell r="A13">
            <v>12</v>
          </cell>
          <cell r="B13" t="str">
            <v>Columbia</v>
          </cell>
          <cell r="C13" t="str">
            <v>substantial</v>
          </cell>
          <cell r="D13">
            <v>44304</v>
          </cell>
          <cell r="E13">
            <v>80.91</v>
          </cell>
          <cell r="F13">
            <v>12214</v>
          </cell>
          <cell r="H13">
            <v>12211</v>
          </cell>
          <cell r="J13">
            <v>7674</v>
          </cell>
          <cell r="L13">
            <v>71686</v>
          </cell>
          <cell r="M13">
            <v>89.88</v>
          </cell>
          <cell r="N13">
            <v>2.57</v>
          </cell>
          <cell r="O13">
            <v>12.4</v>
          </cell>
          <cell r="P13">
            <v>17.399999999999999</v>
          </cell>
          <cell r="Q13">
            <v>19.260000000000002</v>
          </cell>
        </row>
        <row r="14">
          <cell r="A14">
            <v>13</v>
          </cell>
          <cell r="B14" t="str">
            <v>DeSoto</v>
          </cell>
          <cell r="C14" t="str">
            <v>high</v>
          </cell>
          <cell r="D14">
            <v>44304</v>
          </cell>
          <cell r="E14">
            <v>184.21</v>
          </cell>
          <cell r="F14">
            <v>5962</v>
          </cell>
          <cell r="H14">
            <v>5962</v>
          </cell>
          <cell r="J14">
            <v>4484</v>
          </cell>
          <cell r="L14">
            <v>38001</v>
          </cell>
          <cell r="M14">
            <v>59.68</v>
          </cell>
          <cell r="N14">
            <v>2.74</v>
          </cell>
          <cell r="O14">
            <v>18.399999999999999</v>
          </cell>
          <cell r="P14">
            <v>28.5</v>
          </cell>
          <cell r="Q14">
            <v>22.52</v>
          </cell>
        </row>
        <row r="15">
          <cell r="A15">
            <v>14</v>
          </cell>
          <cell r="B15" t="str">
            <v>Dixie</v>
          </cell>
          <cell r="C15" t="str">
            <v>high</v>
          </cell>
          <cell r="D15">
            <v>44304</v>
          </cell>
          <cell r="E15">
            <v>101.03</v>
          </cell>
          <cell r="F15">
            <v>2413</v>
          </cell>
          <cell r="H15">
            <v>2413</v>
          </cell>
          <cell r="J15">
            <v>1848</v>
          </cell>
          <cell r="L15">
            <v>16826</v>
          </cell>
          <cell r="M15">
            <v>23.86</v>
          </cell>
          <cell r="N15">
            <v>2.2799999999999998</v>
          </cell>
          <cell r="O15">
            <v>17.2</v>
          </cell>
          <cell r="P15">
            <v>23.1</v>
          </cell>
          <cell r="Q15">
            <v>23.68</v>
          </cell>
        </row>
        <row r="16">
          <cell r="A16">
            <v>15</v>
          </cell>
          <cell r="B16" t="str">
            <v>Duval</v>
          </cell>
          <cell r="C16" t="str">
            <v>high</v>
          </cell>
          <cell r="D16">
            <v>44304</v>
          </cell>
          <cell r="E16">
            <v>123.83</v>
          </cell>
          <cell r="F16">
            <v>220665</v>
          </cell>
          <cell r="H16">
            <v>220446</v>
          </cell>
          <cell r="J16">
            <v>96588</v>
          </cell>
          <cell r="L16">
            <v>957755</v>
          </cell>
          <cell r="M16">
            <v>1255.8599999999999</v>
          </cell>
          <cell r="N16">
            <v>2.5499999999999998</v>
          </cell>
          <cell r="O16">
            <v>12</v>
          </cell>
          <cell r="P16">
            <v>15.5</v>
          </cell>
          <cell r="Q16">
            <v>14.47</v>
          </cell>
        </row>
        <row r="17">
          <cell r="A17">
            <v>16</v>
          </cell>
          <cell r="B17" t="str">
            <v>Escambia</v>
          </cell>
          <cell r="C17" t="str">
            <v>substantial</v>
          </cell>
          <cell r="D17">
            <v>44304</v>
          </cell>
          <cell r="E17">
            <v>92.36</v>
          </cell>
          <cell r="F17">
            <v>68363</v>
          </cell>
          <cell r="H17">
            <v>68330</v>
          </cell>
          <cell r="J17">
            <v>35404</v>
          </cell>
          <cell r="L17">
            <v>318316</v>
          </cell>
          <cell r="M17">
            <v>484.52</v>
          </cell>
          <cell r="N17">
            <v>2.4700000000000002</v>
          </cell>
          <cell r="O17">
            <v>10.199999999999999</v>
          </cell>
          <cell r="P17">
            <v>13.9</v>
          </cell>
          <cell r="Q17">
            <v>17.14</v>
          </cell>
        </row>
        <row r="18">
          <cell r="A18">
            <v>17</v>
          </cell>
          <cell r="B18" t="str">
            <v>Flagler</v>
          </cell>
          <cell r="C18" t="str">
            <v>high</v>
          </cell>
          <cell r="D18">
            <v>44304</v>
          </cell>
          <cell r="E18">
            <v>125.13</v>
          </cell>
          <cell r="F18">
            <v>33209</v>
          </cell>
          <cell r="H18">
            <v>33199</v>
          </cell>
          <cell r="J18">
            <v>24559</v>
          </cell>
          <cell r="L18">
            <v>115081</v>
          </cell>
          <cell r="M18">
            <v>237.21</v>
          </cell>
          <cell r="N18">
            <v>2.62</v>
          </cell>
          <cell r="O18">
            <v>12.7</v>
          </cell>
          <cell r="P18">
            <v>11.9</v>
          </cell>
          <cell r="Q18">
            <v>31.19</v>
          </cell>
        </row>
        <row r="19">
          <cell r="A19">
            <v>18</v>
          </cell>
          <cell r="B19" t="str">
            <v>Franklin</v>
          </cell>
          <cell r="C19" t="str">
            <v>high</v>
          </cell>
          <cell r="D19">
            <v>44304</v>
          </cell>
          <cell r="E19" t="str">
            <v>suppressed</v>
          </cell>
          <cell r="F19">
            <v>2906</v>
          </cell>
          <cell r="H19">
            <v>2906</v>
          </cell>
          <cell r="J19">
            <v>2053</v>
          </cell>
          <cell r="L19">
            <v>12125</v>
          </cell>
          <cell r="M19">
            <v>22.24</v>
          </cell>
          <cell r="N19">
            <v>2.35</v>
          </cell>
          <cell r="O19">
            <v>18.3</v>
          </cell>
          <cell r="P19">
            <v>20.7</v>
          </cell>
          <cell r="Q19">
            <v>24.13</v>
          </cell>
        </row>
        <row r="20">
          <cell r="A20">
            <v>19</v>
          </cell>
          <cell r="B20" t="str">
            <v>Gadsden</v>
          </cell>
          <cell r="C20" t="str">
            <v>substantial</v>
          </cell>
          <cell r="D20">
            <v>44304</v>
          </cell>
          <cell r="E20">
            <v>67.89</v>
          </cell>
          <cell r="F20">
            <v>11275</v>
          </cell>
          <cell r="H20">
            <v>11269</v>
          </cell>
          <cell r="J20">
            <v>5916</v>
          </cell>
          <cell r="L20">
            <v>45660</v>
          </cell>
          <cell r="M20">
            <v>88.44</v>
          </cell>
          <cell r="N20">
            <v>2.4700000000000002</v>
          </cell>
          <cell r="O20">
            <v>14.9</v>
          </cell>
          <cell r="P20">
            <v>24.6</v>
          </cell>
          <cell r="Q20">
            <v>18.7</v>
          </cell>
        </row>
        <row r="21">
          <cell r="A21">
            <v>20</v>
          </cell>
          <cell r="B21" t="str">
            <v>Gilchrist</v>
          </cell>
          <cell r="C21" t="str">
            <v>high</v>
          </cell>
          <cell r="D21">
            <v>44304</v>
          </cell>
          <cell r="E21">
            <v>193.74</v>
          </cell>
          <cell r="F21">
            <v>2725</v>
          </cell>
          <cell r="H21">
            <v>2723</v>
          </cell>
          <cell r="J21">
            <v>1821</v>
          </cell>
          <cell r="L21">
            <v>18582</v>
          </cell>
          <cell r="M21">
            <v>53.14</v>
          </cell>
          <cell r="N21">
            <v>2.5</v>
          </cell>
          <cell r="O21">
            <v>18.100000000000001</v>
          </cell>
          <cell r="P21">
            <v>17.899999999999999</v>
          </cell>
          <cell r="Q21">
            <v>20.65</v>
          </cell>
        </row>
        <row r="22">
          <cell r="A22">
            <v>21</v>
          </cell>
          <cell r="B22" t="str">
            <v>Glades</v>
          </cell>
          <cell r="C22" t="str">
            <v>moderate</v>
          </cell>
          <cell r="D22">
            <v>44304</v>
          </cell>
          <cell r="E22" t="str">
            <v>suppressed</v>
          </cell>
          <cell r="F22">
            <v>1775</v>
          </cell>
          <cell r="H22">
            <v>1775</v>
          </cell>
          <cell r="J22">
            <v>1326</v>
          </cell>
          <cell r="L22">
            <v>13811</v>
          </cell>
          <cell r="M22">
            <v>17.12</v>
          </cell>
          <cell r="N22">
            <v>2.71</v>
          </cell>
          <cell r="O22">
            <v>19.899999999999999</v>
          </cell>
          <cell r="P22">
            <v>17</v>
          </cell>
          <cell r="Q22">
            <v>27.57</v>
          </cell>
        </row>
        <row r="23">
          <cell r="A23">
            <v>22</v>
          </cell>
          <cell r="B23" t="str">
            <v>Gulf</v>
          </cell>
          <cell r="C23" t="str">
            <v>moderate</v>
          </cell>
          <cell r="D23">
            <v>44304</v>
          </cell>
          <cell r="E23" t="str">
            <v>suppressed</v>
          </cell>
          <cell r="F23">
            <v>3112</v>
          </cell>
          <cell r="H23">
            <v>3112</v>
          </cell>
          <cell r="J23">
            <v>2289</v>
          </cell>
          <cell r="L23">
            <v>13639</v>
          </cell>
          <cell r="M23">
            <v>24.64</v>
          </cell>
          <cell r="N23">
            <v>2.5499999999999998</v>
          </cell>
          <cell r="O23">
            <v>11.4</v>
          </cell>
          <cell r="P23">
            <v>13.9</v>
          </cell>
          <cell r="Q23">
            <v>26.5</v>
          </cell>
        </row>
        <row r="24">
          <cell r="A24">
            <v>23</v>
          </cell>
          <cell r="B24" t="str">
            <v>Hamilton</v>
          </cell>
          <cell r="C24" t="str">
            <v>substantial</v>
          </cell>
          <cell r="D24">
            <v>44304</v>
          </cell>
          <cell r="E24" t="str">
            <v>suppressed</v>
          </cell>
          <cell r="F24">
            <v>2233</v>
          </cell>
          <cell r="H24">
            <v>2233</v>
          </cell>
          <cell r="J24">
            <v>1503</v>
          </cell>
          <cell r="L24">
            <v>14428</v>
          </cell>
          <cell r="M24">
            <v>28.08</v>
          </cell>
          <cell r="N24">
            <v>2.44</v>
          </cell>
          <cell r="O24">
            <v>14.3</v>
          </cell>
          <cell r="P24">
            <v>29.5</v>
          </cell>
          <cell r="Q24">
            <v>18.46</v>
          </cell>
        </row>
        <row r="25">
          <cell r="A25">
            <v>24</v>
          </cell>
          <cell r="B25" t="str">
            <v>Hardee</v>
          </cell>
          <cell r="C25" t="str">
            <v>high</v>
          </cell>
          <cell r="D25">
            <v>44304</v>
          </cell>
          <cell r="E25">
            <v>144.78</v>
          </cell>
          <cell r="F25">
            <v>3161</v>
          </cell>
          <cell r="H25">
            <v>3160</v>
          </cell>
          <cell r="J25">
            <v>2345</v>
          </cell>
          <cell r="L25">
            <v>26937</v>
          </cell>
          <cell r="M25">
            <v>42.25</v>
          </cell>
          <cell r="N25">
            <v>3.22</v>
          </cell>
          <cell r="O25">
            <v>12.2</v>
          </cell>
          <cell r="P25">
            <v>26.7</v>
          </cell>
          <cell r="Q25">
            <v>17.43</v>
          </cell>
        </row>
        <row r="26">
          <cell r="A26">
            <v>25</v>
          </cell>
          <cell r="B26" t="str">
            <v>Hendry</v>
          </cell>
          <cell r="C26" t="str">
            <v>high</v>
          </cell>
          <cell r="D26">
            <v>44304</v>
          </cell>
          <cell r="E26">
            <v>135.63999999999999</v>
          </cell>
          <cell r="F26">
            <v>6165</v>
          </cell>
          <cell r="H26">
            <v>6162</v>
          </cell>
          <cell r="J26">
            <v>3570</v>
          </cell>
          <cell r="L26">
            <v>42022</v>
          </cell>
          <cell r="M26">
            <v>36.340000000000003</v>
          </cell>
          <cell r="N26">
            <v>3.17</v>
          </cell>
          <cell r="O26">
            <v>26.2</v>
          </cell>
          <cell r="P26">
            <v>26.8</v>
          </cell>
          <cell r="Q26">
            <v>13.75</v>
          </cell>
        </row>
        <row r="27">
          <cell r="A27">
            <v>26</v>
          </cell>
          <cell r="B27" t="str">
            <v>Hernando</v>
          </cell>
          <cell r="C27" t="str">
            <v>high</v>
          </cell>
          <cell r="D27">
            <v>44304</v>
          </cell>
          <cell r="E27">
            <v>149.55000000000001</v>
          </cell>
          <cell r="F27">
            <v>43191</v>
          </cell>
          <cell r="H27">
            <v>43172</v>
          </cell>
          <cell r="J27">
            <v>30991</v>
          </cell>
          <cell r="L27">
            <v>193920</v>
          </cell>
          <cell r="M27">
            <v>410.01</v>
          </cell>
          <cell r="N27">
            <v>2.46</v>
          </cell>
          <cell r="O27">
            <v>12.6</v>
          </cell>
          <cell r="P27">
            <v>14.3</v>
          </cell>
          <cell r="Q27">
            <v>27.51</v>
          </cell>
        </row>
        <row r="28">
          <cell r="A28">
            <v>27</v>
          </cell>
          <cell r="B28" t="str">
            <v>Highlands</v>
          </cell>
          <cell r="C28" t="str">
            <v>high</v>
          </cell>
          <cell r="D28">
            <v>44304</v>
          </cell>
          <cell r="E28">
            <v>165.69</v>
          </cell>
          <cell r="F28">
            <v>24076</v>
          </cell>
          <cell r="H28">
            <v>24075</v>
          </cell>
          <cell r="J28">
            <v>19404</v>
          </cell>
          <cell r="L28">
            <v>106221</v>
          </cell>
          <cell r="M28">
            <v>104.38</v>
          </cell>
          <cell r="N28">
            <v>2.44</v>
          </cell>
          <cell r="O28">
            <v>12.7</v>
          </cell>
          <cell r="P28">
            <v>19.2</v>
          </cell>
          <cell r="Q28">
            <v>36.049999999999997</v>
          </cell>
        </row>
        <row r="29">
          <cell r="A29">
            <v>28</v>
          </cell>
          <cell r="B29" t="str">
            <v>Hillsborough</v>
          </cell>
          <cell r="C29" t="str">
            <v>high</v>
          </cell>
          <cell r="D29">
            <v>44304</v>
          </cell>
          <cell r="E29">
            <v>225.75</v>
          </cell>
          <cell r="F29">
            <v>301509</v>
          </cell>
          <cell r="H29">
            <v>301237</v>
          </cell>
          <cell r="J29">
            <v>127646</v>
          </cell>
          <cell r="L29">
            <v>1471968</v>
          </cell>
          <cell r="M29">
            <v>1440.39</v>
          </cell>
          <cell r="N29">
            <v>2.63</v>
          </cell>
          <cell r="O29">
            <v>13</v>
          </cell>
          <cell r="P29">
            <v>15.3</v>
          </cell>
          <cell r="Q29">
            <v>14.54</v>
          </cell>
        </row>
        <row r="30">
          <cell r="A30">
            <v>29</v>
          </cell>
          <cell r="B30" t="str">
            <v>Holmes</v>
          </cell>
          <cell r="C30" t="str">
            <v>moderate</v>
          </cell>
          <cell r="D30">
            <v>44304</v>
          </cell>
          <cell r="E30" t="str">
            <v>suppressed</v>
          </cell>
          <cell r="F30">
            <v>2539</v>
          </cell>
          <cell r="H30">
            <v>2538</v>
          </cell>
          <cell r="J30">
            <v>1710</v>
          </cell>
          <cell r="L30">
            <v>19617</v>
          </cell>
          <cell r="M30">
            <v>40.97</v>
          </cell>
          <cell r="N30">
            <v>2.5099999999999998</v>
          </cell>
          <cell r="O30">
            <v>18.899999999999999</v>
          </cell>
          <cell r="P30">
            <v>25.6</v>
          </cell>
          <cell r="Q30">
            <v>19.989999999999998</v>
          </cell>
        </row>
        <row r="31">
          <cell r="A31">
            <v>30</v>
          </cell>
          <cell r="B31" t="str">
            <v>Indian River</v>
          </cell>
          <cell r="C31" t="str">
            <v>high</v>
          </cell>
          <cell r="D31">
            <v>44304</v>
          </cell>
          <cell r="E31">
            <v>109.43</v>
          </cell>
          <cell r="F31">
            <v>47261</v>
          </cell>
          <cell r="H31">
            <v>47245</v>
          </cell>
          <cell r="J31">
            <v>36245</v>
          </cell>
          <cell r="L31">
            <v>159923</v>
          </cell>
          <cell r="M31">
            <v>318.08</v>
          </cell>
          <cell r="N31">
            <v>2.6</v>
          </cell>
          <cell r="O31">
            <v>12.1</v>
          </cell>
          <cell r="P31">
            <v>12.2</v>
          </cell>
          <cell r="Q31">
            <v>33.85</v>
          </cell>
        </row>
        <row r="32">
          <cell r="A32">
            <v>31</v>
          </cell>
          <cell r="B32" t="str">
            <v>Jackson</v>
          </cell>
          <cell r="C32" t="str">
            <v>moderate</v>
          </cell>
          <cell r="D32">
            <v>44304</v>
          </cell>
          <cell r="E32">
            <v>40.94</v>
          </cell>
          <cell r="F32">
            <v>8586</v>
          </cell>
          <cell r="H32">
            <v>8585</v>
          </cell>
          <cell r="J32">
            <v>5173</v>
          </cell>
          <cell r="L32">
            <v>46414</v>
          </cell>
          <cell r="M32">
            <v>50.55</v>
          </cell>
          <cell r="N32">
            <v>2.4</v>
          </cell>
          <cell r="O32">
            <v>11.3</v>
          </cell>
          <cell r="P32">
            <v>20.6</v>
          </cell>
          <cell r="Q32">
            <v>20.62</v>
          </cell>
        </row>
        <row r="33">
          <cell r="A33">
            <v>32</v>
          </cell>
          <cell r="B33" t="str">
            <v>Jefferson</v>
          </cell>
          <cell r="C33" t="str">
            <v>substantial</v>
          </cell>
          <cell r="D33">
            <v>44304</v>
          </cell>
          <cell r="E33">
            <v>77.209999999999994</v>
          </cell>
          <cell r="F33">
            <v>4409</v>
          </cell>
          <cell r="H33">
            <v>4409</v>
          </cell>
          <cell r="J33">
            <v>3181</v>
          </cell>
          <cell r="L33">
            <v>14246</v>
          </cell>
          <cell r="M33">
            <v>23.82</v>
          </cell>
          <cell r="N33">
            <v>2.04</v>
          </cell>
          <cell r="O33">
            <v>6.4</v>
          </cell>
          <cell r="P33">
            <v>14.1</v>
          </cell>
          <cell r="Q33">
            <v>24.65</v>
          </cell>
        </row>
        <row r="34">
          <cell r="A34">
            <v>33</v>
          </cell>
          <cell r="B34" t="str">
            <v>Lafayette</v>
          </cell>
          <cell r="C34" t="str">
            <v>moderate</v>
          </cell>
          <cell r="D34">
            <v>44304</v>
          </cell>
          <cell r="E34" t="str">
            <v>suppressed</v>
          </cell>
          <cell r="F34">
            <v>1290</v>
          </cell>
          <cell r="H34">
            <v>1290</v>
          </cell>
          <cell r="J34">
            <v>1058</v>
          </cell>
          <cell r="L34">
            <v>8422</v>
          </cell>
          <cell r="M34">
            <v>15.5</v>
          </cell>
          <cell r="N34">
            <v>3.43</v>
          </cell>
          <cell r="O34">
            <v>17.600000000000001</v>
          </cell>
          <cell r="P34">
            <v>20.100000000000001</v>
          </cell>
          <cell r="Q34">
            <v>17.28</v>
          </cell>
        </row>
        <row r="35">
          <cell r="A35">
            <v>34</v>
          </cell>
          <cell r="B35" t="str">
            <v>Lake</v>
          </cell>
          <cell r="C35" t="str">
            <v>high</v>
          </cell>
          <cell r="D35">
            <v>44304</v>
          </cell>
          <cell r="E35">
            <v>190.95</v>
          </cell>
          <cell r="F35">
            <v>104159</v>
          </cell>
          <cell r="H35">
            <v>104069</v>
          </cell>
          <cell r="J35">
            <v>74277</v>
          </cell>
          <cell r="L35">
            <v>367118</v>
          </cell>
          <cell r="M35">
            <v>386.13</v>
          </cell>
          <cell r="N35">
            <v>2.5499999999999998</v>
          </cell>
          <cell r="O35">
            <v>11.6</v>
          </cell>
          <cell r="P35">
            <v>12.5</v>
          </cell>
          <cell r="Q35">
            <v>27.07</v>
          </cell>
        </row>
        <row r="36">
          <cell r="A36">
            <v>35</v>
          </cell>
          <cell r="B36" t="str">
            <v>Lee</v>
          </cell>
          <cell r="C36" t="str">
            <v>high</v>
          </cell>
          <cell r="D36">
            <v>44304</v>
          </cell>
          <cell r="E36">
            <v>205.69</v>
          </cell>
          <cell r="F36">
            <v>185812</v>
          </cell>
          <cell r="H36">
            <v>185775</v>
          </cell>
          <cell r="J36">
            <v>140371</v>
          </cell>
          <cell r="L36">
            <v>770577</v>
          </cell>
          <cell r="M36">
            <v>986.08</v>
          </cell>
          <cell r="N36">
            <v>2.61</v>
          </cell>
          <cell r="O36">
            <v>14.3</v>
          </cell>
          <cell r="P36">
            <v>14</v>
          </cell>
          <cell r="Q36">
            <v>29.15</v>
          </cell>
        </row>
        <row r="37">
          <cell r="A37">
            <v>36</v>
          </cell>
          <cell r="B37" t="str">
            <v>Leon</v>
          </cell>
          <cell r="C37" t="str">
            <v>substantial</v>
          </cell>
          <cell r="D37">
            <v>44304</v>
          </cell>
          <cell r="E37">
            <v>88.22</v>
          </cell>
          <cell r="F37">
            <v>68310</v>
          </cell>
          <cell r="H37">
            <v>68222</v>
          </cell>
          <cell r="J37">
            <v>31491</v>
          </cell>
          <cell r="L37">
            <v>293582</v>
          </cell>
          <cell r="M37">
            <v>440.23</v>
          </cell>
          <cell r="N37">
            <v>2.4300000000000002</v>
          </cell>
          <cell r="O37">
            <v>8.1999999999999993</v>
          </cell>
          <cell r="P37">
            <v>20.399999999999999</v>
          </cell>
          <cell r="Q37">
            <v>13.89</v>
          </cell>
        </row>
        <row r="38">
          <cell r="A38">
            <v>37</v>
          </cell>
          <cell r="B38" t="str">
            <v>Levy</v>
          </cell>
          <cell r="C38" t="str">
            <v>high</v>
          </cell>
          <cell r="D38">
            <v>44304</v>
          </cell>
          <cell r="E38">
            <v>199.99</v>
          </cell>
          <cell r="F38">
            <v>7356</v>
          </cell>
          <cell r="H38">
            <v>7351</v>
          </cell>
          <cell r="J38">
            <v>5284</v>
          </cell>
          <cell r="L38">
            <v>41503</v>
          </cell>
          <cell r="M38">
            <v>37.119999999999997</v>
          </cell>
          <cell r="N38">
            <v>2.41</v>
          </cell>
          <cell r="O38">
            <v>15.5</v>
          </cell>
          <cell r="P38">
            <v>20.7</v>
          </cell>
          <cell r="Q38">
            <v>25.15</v>
          </cell>
        </row>
        <row r="39">
          <cell r="A39">
            <v>38</v>
          </cell>
          <cell r="B39" t="str">
            <v>Liberty</v>
          </cell>
          <cell r="C39" t="str">
            <v>moderate</v>
          </cell>
          <cell r="D39">
            <v>44304</v>
          </cell>
          <cell r="E39" t="str">
            <v>suppressed</v>
          </cell>
          <cell r="F39">
            <v>1166</v>
          </cell>
          <cell r="H39">
            <v>1166</v>
          </cell>
          <cell r="J39">
            <v>706</v>
          </cell>
          <cell r="L39">
            <v>8354</v>
          </cell>
          <cell r="M39">
            <v>10</v>
          </cell>
          <cell r="N39">
            <v>2.9</v>
          </cell>
          <cell r="O39">
            <v>18.5</v>
          </cell>
          <cell r="P39">
            <v>13</v>
          </cell>
          <cell r="Q39">
            <v>15.04</v>
          </cell>
        </row>
        <row r="40">
          <cell r="A40">
            <v>39</v>
          </cell>
          <cell r="B40" t="str">
            <v>Madison</v>
          </cell>
          <cell r="C40" t="str">
            <v>moderate</v>
          </cell>
          <cell r="D40">
            <v>44304</v>
          </cell>
          <cell r="E40" t="str">
            <v>suppressed</v>
          </cell>
          <cell r="F40">
            <v>3783</v>
          </cell>
          <cell r="H40">
            <v>3782</v>
          </cell>
          <cell r="J40">
            <v>2427</v>
          </cell>
          <cell r="L40">
            <v>18493</v>
          </cell>
          <cell r="M40">
            <v>26.55</v>
          </cell>
          <cell r="N40">
            <v>2.4500000000000002</v>
          </cell>
          <cell r="O40">
            <v>13.1</v>
          </cell>
          <cell r="P40">
            <v>28.2</v>
          </cell>
          <cell r="Q40">
            <v>21.1</v>
          </cell>
        </row>
        <row r="41">
          <cell r="A41">
            <v>40</v>
          </cell>
          <cell r="B41" t="str">
            <v>Manatee</v>
          </cell>
          <cell r="C41" t="str">
            <v>high</v>
          </cell>
          <cell r="D41">
            <v>44304</v>
          </cell>
          <cell r="E41">
            <v>208.31</v>
          </cell>
          <cell r="F41">
            <v>97998</v>
          </cell>
          <cell r="H41">
            <v>97977</v>
          </cell>
          <cell r="J41">
            <v>71362</v>
          </cell>
          <cell r="L41">
            <v>403253</v>
          </cell>
          <cell r="M41">
            <v>542.28</v>
          </cell>
          <cell r="N41">
            <v>2.57</v>
          </cell>
          <cell r="O41">
            <v>12.7</v>
          </cell>
          <cell r="P41">
            <v>12.5</v>
          </cell>
          <cell r="Q41">
            <v>28.06</v>
          </cell>
        </row>
        <row r="42">
          <cell r="A42">
            <v>41</v>
          </cell>
          <cell r="B42" t="str">
            <v>Marion</v>
          </cell>
          <cell r="C42" t="str">
            <v>substantial</v>
          </cell>
          <cell r="D42">
            <v>44304</v>
          </cell>
          <cell r="E42">
            <v>95.19</v>
          </cell>
          <cell r="F42">
            <v>87707</v>
          </cell>
          <cell r="H42">
            <v>87685</v>
          </cell>
          <cell r="J42">
            <v>64549</v>
          </cell>
          <cell r="L42">
            <v>365579</v>
          </cell>
          <cell r="M42">
            <v>230.15</v>
          </cell>
          <cell r="N42">
            <v>2.48</v>
          </cell>
          <cell r="O42">
            <v>12.3</v>
          </cell>
          <cell r="P42">
            <v>16.600000000000001</v>
          </cell>
          <cell r="Q42">
            <v>29.18</v>
          </cell>
        </row>
        <row r="43">
          <cell r="A43">
            <v>42</v>
          </cell>
          <cell r="B43" t="str">
            <v>Martin</v>
          </cell>
          <cell r="C43" t="str">
            <v>high</v>
          </cell>
          <cell r="D43">
            <v>44304</v>
          </cell>
          <cell r="E43">
            <v>115.53</v>
          </cell>
          <cell r="F43">
            <v>46950</v>
          </cell>
          <cell r="H43">
            <v>46931</v>
          </cell>
          <cell r="J43">
            <v>35972</v>
          </cell>
          <cell r="L43">
            <v>161000</v>
          </cell>
          <cell r="M43">
            <v>296.05</v>
          </cell>
          <cell r="N43">
            <v>2.41</v>
          </cell>
          <cell r="O43">
            <v>11.5</v>
          </cell>
          <cell r="P43">
            <v>10.5</v>
          </cell>
          <cell r="Q43">
            <v>31.53</v>
          </cell>
        </row>
        <row r="44">
          <cell r="A44">
            <v>43</v>
          </cell>
          <cell r="B44" t="str">
            <v>Miami-Dade</v>
          </cell>
          <cell r="C44" t="str">
            <v>high</v>
          </cell>
          <cell r="D44">
            <v>44304</v>
          </cell>
          <cell r="E44">
            <v>356.39</v>
          </cell>
          <cell r="F44">
            <v>670460</v>
          </cell>
          <cell r="H44">
            <v>669061</v>
          </cell>
          <cell r="J44">
            <v>295860</v>
          </cell>
          <cell r="L44">
            <v>2716940</v>
          </cell>
          <cell r="M44">
            <v>1430.09</v>
          </cell>
          <cell r="N44">
            <v>3.07</v>
          </cell>
          <cell r="O44">
            <v>18.100000000000001</v>
          </cell>
          <cell r="P44">
            <v>18</v>
          </cell>
          <cell r="Q44">
            <v>16.66</v>
          </cell>
        </row>
        <row r="45">
          <cell r="A45">
            <v>44</v>
          </cell>
          <cell r="B45" t="str">
            <v>Monroe</v>
          </cell>
          <cell r="C45" t="str">
            <v>high</v>
          </cell>
          <cell r="D45">
            <v>44304</v>
          </cell>
          <cell r="E45">
            <v>161.66</v>
          </cell>
          <cell r="F45">
            <v>21191</v>
          </cell>
          <cell r="H45">
            <v>21183</v>
          </cell>
          <cell r="J45">
            <v>13224</v>
          </cell>
          <cell r="L45">
            <v>74228</v>
          </cell>
          <cell r="M45">
            <v>75.510000000000005</v>
          </cell>
          <cell r="N45">
            <v>2.39</v>
          </cell>
          <cell r="O45">
            <v>17.8</v>
          </cell>
          <cell r="P45">
            <v>11.8</v>
          </cell>
          <cell r="Q45">
            <v>23.75</v>
          </cell>
        </row>
        <row r="46">
          <cell r="A46">
            <v>45</v>
          </cell>
          <cell r="B46" t="str">
            <v>Nassau</v>
          </cell>
          <cell r="C46" t="str">
            <v>substantial</v>
          </cell>
          <cell r="D46">
            <v>44304</v>
          </cell>
          <cell r="E46">
            <v>65.44</v>
          </cell>
          <cell r="F46">
            <v>24715</v>
          </cell>
          <cell r="H46">
            <v>24701</v>
          </cell>
          <cell r="J46">
            <v>15544</v>
          </cell>
          <cell r="L46">
            <v>88625</v>
          </cell>
          <cell r="M46">
            <v>136.62</v>
          </cell>
          <cell r="N46">
            <v>2.5499999999999998</v>
          </cell>
          <cell r="O46">
            <v>11</v>
          </cell>
          <cell r="P46">
            <v>10.199999999999999</v>
          </cell>
          <cell r="Q46">
            <v>22.83</v>
          </cell>
        </row>
        <row r="47">
          <cell r="A47">
            <v>46</v>
          </cell>
          <cell r="B47" t="str">
            <v>Okaloosa</v>
          </cell>
          <cell r="C47" t="str">
            <v>substantial</v>
          </cell>
          <cell r="D47">
            <v>44304</v>
          </cell>
          <cell r="E47">
            <v>90.16</v>
          </cell>
          <cell r="F47">
            <v>44565</v>
          </cell>
          <cell r="H47">
            <v>44541</v>
          </cell>
          <cell r="J47">
            <v>24240</v>
          </cell>
          <cell r="L47">
            <v>210738</v>
          </cell>
          <cell r="M47">
            <v>226.55</v>
          </cell>
          <cell r="N47">
            <v>2.52</v>
          </cell>
          <cell r="O47">
            <v>12.2</v>
          </cell>
          <cell r="P47">
            <v>11.5</v>
          </cell>
          <cell r="Q47">
            <v>16.309999999999999</v>
          </cell>
        </row>
        <row r="48">
          <cell r="A48">
            <v>47</v>
          </cell>
          <cell r="B48" t="str">
            <v>Okeechobee</v>
          </cell>
          <cell r="C48" t="str">
            <v>high</v>
          </cell>
          <cell r="D48">
            <v>44304</v>
          </cell>
          <cell r="E48">
            <v>151.77000000000001</v>
          </cell>
          <cell r="F48">
            <v>6899</v>
          </cell>
          <cell r="H48">
            <v>6897</v>
          </cell>
          <cell r="J48">
            <v>5323</v>
          </cell>
          <cell r="L48">
            <v>42168</v>
          </cell>
          <cell r="M48">
            <v>54.82</v>
          </cell>
          <cell r="N48">
            <v>2.73</v>
          </cell>
          <cell r="O48">
            <v>18.100000000000001</v>
          </cell>
          <cell r="P48">
            <v>22.7</v>
          </cell>
          <cell r="Q48">
            <v>20.12</v>
          </cell>
        </row>
        <row r="49">
          <cell r="A49">
            <v>48</v>
          </cell>
          <cell r="B49" t="str">
            <v>Orange</v>
          </cell>
          <cell r="C49" t="str">
            <v>high</v>
          </cell>
          <cell r="D49">
            <v>44304</v>
          </cell>
          <cell r="E49">
            <v>230.58</v>
          </cell>
          <cell r="F49">
            <v>290085</v>
          </cell>
          <cell r="H49">
            <v>289432</v>
          </cell>
          <cell r="J49">
            <v>115287</v>
          </cell>
          <cell r="L49">
            <v>1393452</v>
          </cell>
          <cell r="M49">
            <v>1545.08</v>
          </cell>
          <cell r="N49">
            <v>2.81</v>
          </cell>
          <cell r="O49">
            <v>14.5</v>
          </cell>
          <cell r="P49">
            <v>16.100000000000001</v>
          </cell>
          <cell r="Q49">
            <v>12.31</v>
          </cell>
        </row>
        <row r="50">
          <cell r="A50">
            <v>49</v>
          </cell>
          <cell r="B50" t="str">
            <v>Osceola</v>
          </cell>
          <cell r="C50" t="str">
            <v>high</v>
          </cell>
          <cell r="D50">
            <v>44304</v>
          </cell>
          <cell r="E50">
            <v>309.51</v>
          </cell>
          <cell r="F50">
            <v>70045</v>
          </cell>
          <cell r="H50">
            <v>69977</v>
          </cell>
          <cell r="J50">
            <v>34341</v>
          </cell>
          <cell r="L50">
            <v>375751</v>
          </cell>
          <cell r="M50">
            <v>283.04000000000002</v>
          </cell>
          <cell r="N50">
            <v>3.4</v>
          </cell>
          <cell r="O50">
            <v>15.8</v>
          </cell>
          <cell r="P50">
            <v>16.3</v>
          </cell>
          <cell r="Q50">
            <v>13.52</v>
          </cell>
        </row>
        <row r="51">
          <cell r="A51">
            <v>50</v>
          </cell>
          <cell r="B51" t="str">
            <v>Palm Beach</v>
          </cell>
          <cell r="C51" t="str">
            <v>high</v>
          </cell>
          <cell r="D51">
            <v>44304</v>
          </cell>
          <cell r="E51">
            <v>180.25</v>
          </cell>
          <cell r="F51">
            <v>380338</v>
          </cell>
          <cell r="H51">
            <v>379960</v>
          </cell>
          <cell r="J51">
            <v>244391</v>
          </cell>
          <cell r="L51">
            <v>1496770</v>
          </cell>
          <cell r="M51">
            <v>761.99</v>
          </cell>
          <cell r="N51">
            <v>2.6</v>
          </cell>
          <cell r="O51">
            <v>13.6</v>
          </cell>
          <cell r="P51">
            <v>12.8</v>
          </cell>
          <cell r="Q51">
            <v>24.36</v>
          </cell>
        </row>
        <row r="52">
          <cell r="A52">
            <v>51</v>
          </cell>
          <cell r="B52" t="str">
            <v>Pasco</v>
          </cell>
          <cell r="C52" t="str">
            <v>high</v>
          </cell>
          <cell r="D52">
            <v>44304</v>
          </cell>
          <cell r="E52">
            <v>198.21</v>
          </cell>
          <cell r="F52">
            <v>118936</v>
          </cell>
          <cell r="H52">
            <v>118872</v>
          </cell>
          <cell r="J52">
            <v>74290</v>
          </cell>
          <cell r="L52">
            <v>553947</v>
          </cell>
          <cell r="M52">
            <v>741.98</v>
          </cell>
          <cell r="N52">
            <v>2.52</v>
          </cell>
          <cell r="O52">
            <v>11.8</v>
          </cell>
          <cell r="P52">
            <v>13.5</v>
          </cell>
          <cell r="Q52">
            <v>22.65</v>
          </cell>
        </row>
        <row r="53">
          <cell r="A53">
            <v>52</v>
          </cell>
          <cell r="B53" t="str">
            <v>Pinellas</v>
          </cell>
          <cell r="C53" t="str">
            <v>high</v>
          </cell>
          <cell r="D53">
            <v>44304</v>
          </cell>
          <cell r="E53">
            <v>176.21</v>
          </cell>
          <cell r="F53">
            <v>267228</v>
          </cell>
          <cell r="H53">
            <v>267064</v>
          </cell>
          <cell r="J53">
            <v>159027</v>
          </cell>
          <cell r="L53">
            <v>974996</v>
          </cell>
          <cell r="M53">
            <v>3561.28</v>
          </cell>
          <cell r="N53">
            <v>2.31</v>
          </cell>
          <cell r="O53">
            <v>11.5</v>
          </cell>
          <cell r="P53">
            <v>13</v>
          </cell>
          <cell r="Q53">
            <v>25.4</v>
          </cell>
        </row>
        <row r="54">
          <cell r="A54">
            <v>53</v>
          </cell>
          <cell r="B54" t="str">
            <v>Polk</v>
          </cell>
          <cell r="C54" t="str">
            <v>high</v>
          </cell>
          <cell r="D54">
            <v>44304</v>
          </cell>
          <cell r="E54">
            <v>218.41</v>
          </cell>
          <cell r="F54">
            <v>134202</v>
          </cell>
          <cell r="H54">
            <v>134119</v>
          </cell>
          <cell r="J54">
            <v>84707</v>
          </cell>
          <cell r="L54">
            <v>724777</v>
          </cell>
          <cell r="M54">
            <v>403.21</v>
          </cell>
          <cell r="N54">
            <v>2.84</v>
          </cell>
          <cell r="O54">
            <v>13.2</v>
          </cell>
          <cell r="P54">
            <v>16.600000000000001</v>
          </cell>
          <cell r="Q54">
            <v>20.440000000000001</v>
          </cell>
        </row>
        <row r="55">
          <cell r="A55">
            <v>54</v>
          </cell>
          <cell r="B55" t="str">
            <v>Putnam</v>
          </cell>
          <cell r="C55" t="str">
            <v>high</v>
          </cell>
          <cell r="D55">
            <v>44304</v>
          </cell>
          <cell r="E55">
            <v>142.24</v>
          </cell>
          <cell r="F55">
            <v>11374</v>
          </cell>
          <cell r="H55">
            <v>11372</v>
          </cell>
          <cell r="J55">
            <v>7933</v>
          </cell>
          <cell r="L55">
            <v>74521</v>
          </cell>
          <cell r="M55">
            <v>102.38</v>
          </cell>
          <cell r="N55">
            <v>2.52</v>
          </cell>
          <cell r="O55">
            <v>16</v>
          </cell>
          <cell r="P55">
            <v>24.8</v>
          </cell>
          <cell r="Q55">
            <v>23.72</v>
          </cell>
        </row>
        <row r="56">
          <cell r="A56">
            <v>55</v>
          </cell>
          <cell r="B56" t="str">
            <v>Santa Rosa</v>
          </cell>
          <cell r="C56" t="str">
            <v>substantial</v>
          </cell>
          <cell r="D56">
            <v>44304</v>
          </cell>
          <cell r="E56">
            <v>51</v>
          </cell>
          <cell r="F56">
            <v>34972</v>
          </cell>
          <cell r="H56">
            <v>34936</v>
          </cell>
          <cell r="J56">
            <v>19863</v>
          </cell>
          <cell r="L56">
            <v>184313</v>
          </cell>
          <cell r="M56">
            <v>182.06</v>
          </cell>
          <cell r="N56">
            <v>2.68</v>
          </cell>
          <cell r="O56">
            <v>10</v>
          </cell>
          <cell r="P56">
            <v>9.8000000000000007</v>
          </cell>
          <cell r="Q56">
            <v>16.34</v>
          </cell>
        </row>
        <row r="57">
          <cell r="A57">
            <v>56</v>
          </cell>
          <cell r="B57" t="str">
            <v>Sarasota</v>
          </cell>
          <cell r="C57" t="str">
            <v>high</v>
          </cell>
          <cell r="D57">
            <v>44304</v>
          </cell>
          <cell r="E57">
            <v>174.07</v>
          </cell>
          <cell r="F57">
            <v>141653</v>
          </cell>
          <cell r="H57">
            <v>141587</v>
          </cell>
          <cell r="J57">
            <v>110222</v>
          </cell>
          <cell r="L57">
            <v>433742</v>
          </cell>
          <cell r="M57">
            <v>780.13</v>
          </cell>
          <cell r="N57">
            <v>2.25</v>
          </cell>
          <cell r="O57">
            <v>11.4</v>
          </cell>
          <cell r="P57">
            <v>9.6999999999999993</v>
          </cell>
          <cell r="Q57">
            <v>37.340000000000003</v>
          </cell>
        </row>
        <row r="58">
          <cell r="A58">
            <v>57</v>
          </cell>
          <cell r="B58" t="str">
            <v>Seminole</v>
          </cell>
          <cell r="C58" t="str">
            <v>high</v>
          </cell>
          <cell r="D58">
            <v>44304</v>
          </cell>
          <cell r="E58">
            <v>198.8</v>
          </cell>
          <cell r="F58">
            <v>95894</v>
          </cell>
          <cell r="H58">
            <v>95743</v>
          </cell>
          <cell r="J58">
            <v>47375</v>
          </cell>
          <cell r="L58">
            <v>471826</v>
          </cell>
          <cell r="M58">
            <v>1525.34</v>
          </cell>
          <cell r="N58">
            <v>2.7</v>
          </cell>
          <cell r="O58">
            <v>10.4</v>
          </cell>
          <cell r="P58">
            <v>11.4</v>
          </cell>
          <cell r="Q58">
            <v>15.98</v>
          </cell>
        </row>
        <row r="59">
          <cell r="A59">
            <v>58</v>
          </cell>
          <cell r="B59" t="str">
            <v>St. Johns</v>
          </cell>
          <cell r="C59" t="str">
            <v>high</v>
          </cell>
          <cell r="D59">
            <v>44304</v>
          </cell>
          <cell r="E59">
            <v>113.73</v>
          </cell>
          <cell r="F59">
            <v>82877</v>
          </cell>
          <cell r="H59">
            <v>82742</v>
          </cell>
          <cell r="J59">
            <v>45409</v>
          </cell>
          <cell r="L59">
            <v>264672</v>
          </cell>
          <cell r="M59">
            <v>440.71</v>
          </cell>
          <cell r="N59">
            <v>2.7</v>
          </cell>
          <cell r="O59">
            <v>8.4</v>
          </cell>
          <cell r="P59">
            <v>8.4</v>
          </cell>
          <cell r="Q59">
            <v>20.65</v>
          </cell>
        </row>
        <row r="60">
          <cell r="A60">
            <v>59</v>
          </cell>
          <cell r="B60" t="str">
            <v>St. Lucie</v>
          </cell>
          <cell r="C60" t="str">
            <v>high</v>
          </cell>
          <cell r="D60">
            <v>44304</v>
          </cell>
          <cell r="E60">
            <v>151.69</v>
          </cell>
          <cell r="F60">
            <v>68581</v>
          </cell>
          <cell r="H60">
            <v>68563</v>
          </cell>
          <cell r="J60">
            <v>47929</v>
          </cell>
          <cell r="L60">
            <v>328297</v>
          </cell>
          <cell r="M60">
            <v>574.29999999999995</v>
          </cell>
          <cell r="N60">
            <v>2.68</v>
          </cell>
          <cell r="O60">
            <v>14</v>
          </cell>
          <cell r="P60">
            <v>15</v>
          </cell>
          <cell r="Q60">
            <v>24.65</v>
          </cell>
        </row>
        <row r="61">
          <cell r="A61">
            <v>60</v>
          </cell>
          <cell r="B61" t="str">
            <v>Sumter</v>
          </cell>
          <cell r="C61" t="str">
            <v>substantial</v>
          </cell>
          <cell r="D61">
            <v>44304</v>
          </cell>
          <cell r="E61">
            <v>94.4</v>
          </cell>
          <cell r="F61">
            <v>70065</v>
          </cell>
          <cell r="H61">
            <v>70056</v>
          </cell>
          <cell r="J61">
            <v>61406</v>
          </cell>
          <cell r="L61">
            <v>132420</v>
          </cell>
          <cell r="M61">
            <v>237.68</v>
          </cell>
          <cell r="N61">
            <v>2.04</v>
          </cell>
          <cell r="O61">
            <v>6.2</v>
          </cell>
          <cell r="P61">
            <v>8.8000000000000007</v>
          </cell>
          <cell r="Q61">
            <v>58.17</v>
          </cell>
        </row>
        <row r="62">
          <cell r="A62">
            <v>61</v>
          </cell>
          <cell r="B62" t="str">
            <v>Suwannee</v>
          </cell>
          <cell r="C62" t="str">
            <v>substantial</v>
          </cell>
          <cell r="D62">
            <v>44304</v>
          </cell>
          <cell r="E62">
            <v>58.54</v>
          </cell>
          <cell r="F62">
            <v>7256</v>
          </cell>
          <cell r="H62">
            <v>7254</v>
          </cell>
          <cell r="J62">
            <v>5186</v>
          </cell>
          <cell r="L62">
            <v>44417</v>
          </cell>
          <cell r="M62">
            <v>64.510000000000005</v>
          </cell>
          <cell r="N62">
            <v>2.81</v>
          </cell>
          <cell r="O62">
            <v>13.9</v>
          </cell>
          <cell r="P62">
            <v>17.8</v>
          </cell>
          <cell r="Q62">
            <v>21.73</v>
          </cell>
        </row>
        <row r="63">
          <cell r="A63">
            <v>62</v>
          </cell>
          <cell r="B63" t="str">
            <v>Taylor</v>
          </cell>
          <cell r="C63" t="str">
            <v>moderate</v>
          </cell>
          <cell r="D63">
            <v>44304</v>
          </cell>
          <cell r="E63" t="str">
            <v>suppressed</v>
          </cell>
          <cell r="F63">
            <v>3304</v>
          </cell>
          <cell r="H63">
            <v>3303</v>
          </cell>
          <cell r="J63">
            <v>2286</v>
          </cell>
          <cell r="L63">
            <v>21569</v>
          </cell>
          <cell r="M63">
            <v>20.67</v>
          </cell>
          <cell r="N63">
            <v>2.4700000000000002</v>
          </cell>
          <cell r="O63">
            <v>10.9</v>
          </cell>
          <cell r="P63">
            <v>19.8</v>
          </cell>
          <cell r="Q63">
            <v>20.98</v>
          </cell>
        </row>
        <row r="64">
          <cell r="A64">
            <v>63</v>
          </cell>
          <cell r="B64" t="str">
            <v>Union</v>
          </cell>
          <cell r="C64" t="str">
            <v>substantial</v>
          </cell>
          <cell r="D64">
            <v>44304</v>
          </cell>
          <cell r="E64">
            <v>78.760000000000005</v>
          </cell>
          <cell r="F64">
            <v>1624</v>
          </cell>
          <cell r="H64">
            <v>1624</v>
          </cell>
          <cell r="J64">
            <v>1100</v>
          </cell>
          <cell r="L64">
            <v>15237</v>
          </cell>
          <cell r="M64">
            <v>62.56</v>
          </cell>
          <cell r="N64">
            <v>2.5</v>
          </cell>
          <cell r="O64">
            <v>12.4</v>
          </cell>
          <cell r="P64">
            <v>22</v>
          </cell>
          <cell r="Q64">
            <v>15.21</v>
          </cell>
        </row>
        <row r="65">
          <cell r="A65">
            <v>64</v>
          </cell>
          <cell r="B65" t="str">
            <v>Volusia</v>
          </cell>
          <cell r="C65" t="str">
            <v>high</v>
          </cell>
          <cell r="D65">
            <v>44304</v>
          </cell>
          <cell r="E65">
            <v>217.43</v>
          </cell>
          <cell r="F65">
            <v>129794</v>
          </cell>
          <cell r="H65">
            <v>129751</v>
          </cell>
          <cell r="J65">
            <v>88549</v>
          </cell>
          <cell r="L65">
            <v>553284</v>
          </cell>
          <cell r="M65">
            <v>502.42</v>
          </cell>
          <cell r="N65">
            <v>2.4300000000000002</v>
          </cell>
          <cell r="O65">
            <v>12.5</v>
          </cell>
          <cell r="P65">
            <v>15.2</v>
          </cell>
          <cell r="Q65">
            <v>24.91</v>
          </cell>
        </row>
        <row r="66">
          <cell r="A66">
            <v>65</v>
          </cell>
          <cell r="B66" t="str">
            <v>Wakulla</v>
          </cell>
          <cell r="C66" t="str">
            <v>high</v>
          </cell>
          <cell r="D66">
            <v>44304</v>
          </cell>
          <cell r="E66">
            <v>124.49</v>
          </cell>
          <cell r="F66">
            <v>6415</v>
          </cell>
          <cell r="H66">
            <v>6410</v>
          </cell>
          <cell r="J66">
            <v>3872</v>
          </cell>
          <cell r="L66">
            <v>33739</v>
          </cell>
          <cell r="M66">
            <v>55.64</v>
          </cell>
          <cell r="N66">
            <v>2.56</v>
          </cell>
          <cell r="O66">
            <v>9</v>
          </cell>
          <cell r="P66">
            <v>11.5</v>
          </cell>
          <cell r="Q66">
            <v>15.9</v>
          </cell>
        </row>
        <row r="67">
          <cell r="A67">
            <v>66</v>
          </cell>
          <cell r="B67" t="str">
            <v>Walton</v>
          </cell>
          <cell r="C67" t="str">
            <v>high</v>
          </cell>
          <cell r="D67">
            <v>44304</v>
          </cell>
          <cell r="E67">
            <v>203.86</v>
          </cell>
          <cell r="F67">
            <v>14079</v>
          </cell>
          <cell r="H67">
            <v>14075</v>
          </cell>
          <cell r="J67">
            <v>8904</v>
          </cell>
          <cell r="L67">
            <v>74071</v>
          </cell>
          <cell r="M67">
            <v>71.38</v>
          </cell>
          <cell r="N67">
            <v>2.42</v>
          </cell>
          <cell r="O67">
            <v>13.5</v>
          </cell>
          <cell r="P67">
            <v>14.7</v>
          </cell>
          <cell r="Q67">
            <v>20.22</v>
          </cell>
        </row>
        <row r="68">
          <cell r="A68">
            <v>67</v>
          </cell>
          <cell r="B68" t="str">
            <v>Washington</v>
          </cell>
          <cell r="C68" t="str">
            <v>substantial</v>
          </cell>
          <cell r="D68">
            <v>44304</v>
          </cell>
          <cell r="E68">
            <v>54.96</v>
          </cell>
          <cell r="F68">
            <v>3139</v>
          </cell>
          <cell r="H68">
            <v>3136</v>
          </cell>
          <cell r="J68">
            <v>2005</v>
          </cell>
          <cell r="L68">
            <v>25473</v>
          </cell>
          <cell r="M68">
            <v>43.57</v>
          </cell>
          <cell r="N68">
            <v>2.57</v>
          </cell>
          <cell r="O68">
            <v>12.8</v>
          </cell>
          <cell r="P68">
            <v>22.4</v>
          </cell>
          <cell r="Q68">
            <v>17.2</v>
          </cell>
        </row>
      </sheetData>
      <sheetData sheetId="10">
        <row r="1">
          <cell r="B1" t="str">
            <v>County</v>
          </cell>
          <cell r="C1" t="str">
            <v>Level_Of_Transmission</v>
          </cell>
          <cell r="D1" t="str">
            <v>Date_Updated</v>
          </cell>
          <cell r="E1" t="str">
            <v>Infection_Rate</v>
          </cell>
          <cell r="F1" t="str">
            <v>Vaccinated</v>
          </cell>
          <cell r="G1" t="str">
            <v>Vaccinated_Percent</v>
          </cell>
          <cell r="H1" t="str">
            <v>Over_18_Vacc</v>
          </cell>
          <cell r="I1" t="str">
            <v>Over_18_Vacc_Percent</v>
          </cell>
          <cell r="J1" t="str">
            <v>Over_65_Vacc</v>
          </cell>
          <cell r="K1" t="str">
            <v>Over_65_Vacc_Percent</v>
          </cell>
          <cell r="L1" t="str">
            <v>Total_Population</v>
          </cell>
          <cell r="M1" t="str">
            <v>Population_Density</v>
          </cell>
          <cell r="N1" t="str">
            <v>Avg_HH_Size</v>
          </cell>
          <cell r="O1" t="str">
            <v>Percent_Uninsured</v>
          </cell>
          <cell r="P1" t="str">
            <v>Poverty Rate</v>
          </cell>
          <cell r="Q1" t="str">
            <v>Over_65</v>
          </cell>
        </row>
        <row r="2">
          <cell r="A2">
            <v>1</v>
          </cell>
          <cell r="B2" t="str">
            <v>Alachua</v>
          </cell>
          <cell r="C2" t="str">
            <v>substantial</v>
          </cell>
          <cell r="D2">
            <v>44305</v>
          </cell>
          <cell r="E2">
            <v>98.87</v>
          </cell>
          <cell r="F2">
            <v>73169</v>
          </cell>
          <cell r="G2">
            <v>0.27200000000000002</v>
          </cell>
          <cell r="H2">
            <v>73103</v>
          </cell>
          <cell r="I2">
            <v>0.33100000000000002</v>
          </cell>
          <cell r="J2">
            <v>31020</v>
          </cell>
          <cell r="K2">
            <v>0.79</v>
          </cell>
          <cell r="L2">
            <v>269043</v>
          </cell>
          <cell r="M2">
            <v>307.29000000000002</v>
          </cell>
          <cell r="N2">
            <v>2.54</v>
          </cell>
          <cell r="O2">
            <v>9.1999999999999993</v>
          </cell>
          <cell r="P2">
            <v>21.8</v>
          </cell>
          <cell r="Q2">
            <v>14.6</v>
          </cell>
        </row>
        <row r="3">
          <cell r="A3">
            <v>2</v>
          </cell>
          <cell r="B3" t="str">
            <v>Baker</v>
          </cell>
          <cell r="C3" t="str">
            <v>substantial</v>
          </cell>
          <cell r="D3">
            <v>44305</v>
          </cell>
          <cell r="E3">
            <v>92.43</v>
          </cell>
          <cell r="F3">
            <v>3510</v>
          </cell>
          <cell r="G3">
            <v>0.12</v>
          </cell>
          <cell r="H3">
            <v>3510</v>
          </cell>
          <cell r="I3">
            <v>0.158</v>
          </cell>
          <cell r="J3">
            <v>2193</v>
          </cell>
          <cell r="K3">
            <v>0.53300000000000003</v>
          </cell>
          <cell r="L3">
            <v>29210</v>
          </cell>
          <cell r="M3">
            <v>49.91</v>
          </cell>
          <cell r="N3">
            <v>2.92</v>
          </cell>
          <cell r="O3">
            <v>12.5</v>
          </cell>
          <cell r="P3">
            <v>14.6</v>
          </cell>
          <cell r="Q3">
            <v>14.09</v>
          </cell>
        </row>
        <row r="4">
          <cell r="A4">
            <v>3</v>
          </cell>
          <cell r="B4" t="str">
            <v>Bay</v>
          </cell>
          <cell r="C4" t="str">
            <v>substantial</v>
          </cell>
          <cell r="D4">
            <v>44305</v>
          </cell>
          <cell r="E4">
            <v>91.01</v>
          </cell>
          <cell r="F4">
            <v>36528</v>
          </cell>
          <cell r="G4">
            <v>0.20899999999999999</v>
          </cell>
          <cell r="H4">
            <v>36506</v>
          </cell>
          <cell r="I4">
            <v>0.26300000000000001</v>
          </cell>
          <cell r="J4">
            <v>19072</v>
          </cell>
          <cell r="K4">
            <v>0.58599999999999997</v>
          </cell>
          <cell r="L4">
            <v>174705</v>
          </cell>
          <cell r="M4">
            <v>230.3</v>
          </cell>
          <cell r="N4">
            <v>2.57</v>
          </cell>
          <cell r="O4">
            <v>14.2</v>
          </cell>
          <cell r="P4">
            <v>14.7</v>
          </cell>
          <cell r="Q4">
            <v>18.62</v>
          </cell>
        </row>
        <row r="5">
          <cell r="A5">
            <v>4</v>
          </cell>
          <cell r="B5" t="str">
            <v>Bradford</v>
          </cell>
          <cell r="C5" t="str">
            <v>substantial</v>
          </cell>
          <cell r="D5">
            <v>44305</v>
          </cell>
          <cell r="E5">
            <v>56.74</v>
          </cell>
          <cell r="F5">
            <v>3894</v>
          </cell>
          <cell r="G5">
            <v>0.13800000000000001</v>
          </cell>
          <cell r="H5">
            <v>3894</v>
          </cell>
          <cell r="I5">
            <v>0.17100000000000001</v>
          </cell>
          <cell r="J5">
            <v>2541</v>
          </cell>
          <cell r="K5">
            <v>0.502</v>
          </cell>
          <cell r="L5">
            <v>28201</v>
          </cell>
          <cell r="M5">
            <v>95.93</v>
          </cell>
          <cell r="N5">
            <v>2.6</v>
          </cell>
          <cell r="O5">
            <v>12.4</v>
          </cell>
          <cell r="P5">
            <v>20.3</v>
          </cell>
          <cell r="Q5">
            <v>17.96</v>
          </cell>
        </row>
        <row r="6">
          <cell r="A6">
            <v>5</v>
          </cell>
          <cell r="B6" t="str">
            <v>Brevard</v>
          </cell>
          <cell r="C6" t="str">
            <v>high</v>
          </cell>
          <cell r="D6">
            <v>44305</v>
          </cell>
          <cell r="E6">
            <v>146.53</v>
          </cell>
          <cell r="F6">
            <v>145030</v>
          </cell>
          <cell r="G6">
            <v>0.24099999999999999</v>
          </cell>
          <cell r="H6">
            <v>144954</v>
          </cell>
          <cell r="I6">
            <v>0.29399999999999998</v>
          </cell>
          <cell r="J6">
            <v>90819</v>
          </cell>
          <cell r="K6">
            <v>0.623</v>
          </cell>
          <cell r="L6">
            <v>601942</v>
          </cell>
          <cell r="M6">
            <v>593.05999999999995</v>
          </cell>
          <cell r="N6">
            <v>2.4900000000000002</v>
          </cell>
          <cell r="O6">
            <v>10.8</v>
          </cell>
          <cell r="P6">
            <v>12.7</v>
          </cell>
          <cell r="Q6">
            <v>24.21</v>
          </cell>
        </row>
        <row r="7">
          <cell r="A7">
            <v>6</v>
          </cell>
          <cell r="B7" t="str">
            <v>Broward</v>
          </cell>
          <cell r="C7" t="str">
            <v>high</v>
          </cell>
          <cell r="D7">
            <v>44305</v>
          </cell>
          <cell r="E7">
            <v>271.05</v>
          </cell>
          <cell r="F7">
            <v>460059</v>
          </cell>
          <cell r="G7">
            <v>0.23599999999999999</v>
          </cell>
          <cell r="H7">
            <v>459165</v>
          </cell>
          <cell r="I7">
            <v>0.29799999999999999</v>
          </cell>
          <cell r="J7">
            <v>218006</v>
          </cell>
          <cell r="K7">
            <v>0.65200000000000002</v>
          </cell>
          <cell r="L7">
            <v>1952778</v>
          </cell>
          <cell r="M7">
            <v>1623.5</v>
          </cell>
          <cell r="N7">
            <v>2.77</v>
          </cell>
          <cell r="O7">
            <v>14.6</v>
          </cell>
          <cell r="P7">
            <v>13.5</v>
          </cell>
          <cell r="Q7">
            <v>17.13</v>
          </cell>
        </row>
        <row r="8">
          <cell r="A8">
            <v>7</v>
          </cell>
          <cell r="B8" t="str">
            <v>Calhoun</v>
          </cell>
          <cell r="C8" t="str">
            <v>moderate</v>
          </cell>
          <cell r="D8">
            <v>44305</v>
          </cell>
          <cell r="E8" t="str">
            <v>suppressed</v>
          </cell>
          <cell r="F8">
            <v>2100</v>
          </cell>
          <cell r="G8">
            <v>0.14899999999999999</v>
          </cell>
          <cell r="H8">
            <v>2100</v>
          </cell>
          <cell r="I8">
            <v>0.186</v>
          </cell>
          <cell r="J8">
            <v>1396</v>
          </cell>
          <cell r="K8">
            <v>0.52300000000000002</v>
          </cell>
          <cell r="L8">
            <v>14105</v>
          </cell>
          <cell r="M8">
            <v>24.86</v>
          </cell>
          <cell r="N8">
            <v>2.73</v>
          </cell>
          <cell r="O8">
            <v>18.3</v>
          </cell>
          <cell r="P8">
            <v>12.2</v>
          </cell>
          <cell r="Q8">
            <v>18.93</v>
          </cell>
        </row>
        <row r="9">
          <cell r="A9">
            <v>8</v>
          </cell>
          <cell r="B9" t="str">
            <v>Charlotte</v>
          </cell>
          <cell r="C9" t="str">
            <v>high</v>
          </cell>
          <cell r="D9">
            <v>44305</v>
          </cell>
          <cell r="E9">
            <v>139.22</v>
          </cell>
          <cell r="F9">
            <v>63858</v>
          </cell>
          <cell r="G9">
            <v>0.33800000000000002</v>
          </cell>
          <cell r="H9">
            <v>63832</v>
          </cell>
          <cell r="I9">
            <v>0.38300000000000001</v>
          </cell>
          <cell r="J9">
            <v>50877</v>
          </cell>
          <cell r="K9">
            <v>0.66</v>
          </cell>
          <cell r="L9">
            <v>188910</v>
          </cell>
          <cell r="M9">
            <v>277.36</v>
          </cell>
          <cell r="N9">
            <v>2.2799999999999998</v>
          </cell>
          <cell r="O9">
            <v>11.3</v>
          </cell>
          <cell r="P9">
            <v>11.1</v>
          </cell>
          <cell r="Q9">
            <v>40.799999999999997</v>
          </cell>
        </row>
        <row r="10">
          <cell r="A10">
            <v>9</v>
          </cell>
          <cell r="B10" t="str">
            <v>Citrus</v>
          </cell>
          <cell r="C10" t="str">
            <v>high</v>
          </cell>
          <cell r="D10">
            <v>44305</v>
          </cell>
          <cell r="E10">
            <v>105.57</v>
          </cell>
          <cell r="F10">
            <v>40801</v>
          </cell>
          <cell r="G10">
            <v>0.27300000000000002</v>
          </cell>
          <cell r="H10">
            <v>40795</v>
          </cell>
          <cell r="I10">
            <v>0.32</v>
          </cell>
          <cell r="J10">
            <v>32959</v>
          </cell>
          <cell r="K10">
            <v>0.6</v>
          </cell>
          <cell r="L10">
            <v>149657</v>
          </cell>
          <cell r="M10">
            <v>257.18</v>
          </cell>
          <cell r="N10">
            <v>2.2400000000000002</v>
          </cell>
          <cell r="O10">
            <v>10.4</v>
          </cell>
          <cell r="P10">
            <v>16.7</v>
          </cell>
          <cell r="Q10">
            <v>36.71</v>
          </cell>
        </row>
        <row r="11">
          <cell r="A11">
            <v>10</v>
          </cell>
          <cell r="B11" t="str">
            <v>Clay</v>
          </cell>
          <cell r="C11" t="str">
            <v>high</v>
          </cell>
          <cell r="D11">
            <v>44305</v>
          </cell>
          <cell r="E11">
            <v>120.87</v>
          </cell>
          <cell r="F11">
            <v>38916</v>
          </cell>
          <cell r="G11">
            <v>0.17699999999999999</v>
          </cell>
          <cell r="H11">
            <v>38881</v>
          </cell>
          <cell r="I11">
            <v>0.23</v>
          </cell>
          <cell r="J11">
            <v>20559</v>
          </cell>
          <cell r="K11">
            <v>0.57399999999999995</v>
          </cell>
          <cell r="L11">
            <v>219252</v>
          </cell>
          <cell r="M11">
            <v>362.63</v>
          </cell>
          <cell r="N11">
            <v>2.81</v>
          </cell>
          <cell r="O11">
            <v>10.4</v>
          </cell>
          <cell r="P11">
            <v>10.6</v>
          </cell>
          <cell r="Q11">
            <v>16.350000000000001</v>
          </cell>
        </row>
        <row r="12">
          <cell r="A12">
            <v>11</v>
          </cell>
          <cell r="B12" t="str">
            <v>Collier</v>
          </cell>
          <cell r="C12" t="str">
            <v>high</v>
          </cell>
          <cell r="D12">
            <v>44305</v>
          </cell>
          <cell r="E12">
            <v>175.37</v>
          </cell>
          <cell r="F12">
            <v>119078</v>
          </cell>
          <cell r="G12">
            <v>0.309</v>
          </cell>
          <cell r="H12">
            <v>119043</v>
          </cell>
          <cell r="I12">
            <v>0.372</v>
          </cell>
          <cell r="J12">
            <v>90947</v>
          </cell>
          <cell r="K12">
            <v>0.71799999999999997</v>
          </cell>
          <cell r="L12">
            <v>384902</v>
          </cell>
          <cell r="M12">
            <v>192.75</v>
          </cell>
          <cell r="N12">
            <v>2.5499999999999998</v>
          </cell>
          <cell r="O12">
            <v>16.5</v>
          </cell>
          <cell r="P12">
            <v>12.3</v>
          </cell>
          <cell r="Q12">
            <v>32.92</v>
          </cell>
        </row>
        <row r="13">
          <cell r="A13">
            <v>12</v>
          </cell>
          <cell r="B13" t="str">
            <v>Columbia</v>
          </cell>
          <cell r="C13" t="str">
            <v>substantial</v>
          </cell>
          <cell r="D13">
            <v>44305</v>
          </cell>
          <cell r="E13">
            <v>79.510000000000005</v>
          </cell>
          <cell r="F13">
            <v>12310</v>
          </cell>
          <cell r="G13">
            <v>0.17199999999999999</v>
          </cell>
          <cell r="H13">
            <v>12307</v>
          </cell>
          <cell r="I13">
            <v>0.219</v>
          </cell>
          <cell r="J13">
            <v>7695</v>
          </cell>
          <cell r="K13">
            <v>0.55700000000000005</v>
          </cell>
          <cell r="L13">
            <v>71686</v>
          </cell>
          <cell r="M13">
            <v>89.88</v>
          </cell>
          <cell r="N13">
            <v>2.57</v>
          </cell>
          <cell r="O13">
            <v>12.4</v>
          </cell>
          <cell r="P13">
            <v>17.399999999999999</v>
          </cell>
          <cell r="Q13">
            <v>19.260000000000002</v>
          </cell>
        </row>
        <row r="14">
          <cell r="A14">
            <v>13</v>
          </cell>
          <cell r="B14" t="str">
            <v>DeSoto</v>
          </cell>
          <cell r="C14" t="str">
            <v>high</v>
          </cell>
          <cell r="D14">
            <v>44305</v>
          </cell>
          <cell r="E14">
            <v>155.26</v>
          </cell>
          <cell r="F14">
            <v>6115</v>
          </cell>
          <cell r="G14">
            <v>0.161</v>
          </cell>
          <cell r="H14">
            <v>6115</v>
          </cell>
          <cell r="I14">
            <v>0.19800000000000001</v>
          </cell>
          <cell r="J14">
            <v>4543</v>
          </cell>
          <cell r="K14">
            <v>0.53100000000000003</v>
          </cell>
          <cell r="L14">
            <v>38001</v>
          </cell>
          <cell r="M14">
            <v>59.68</v>
          </cell>
          <cell r="N14">
            <v>2.74</v>
          </cell>
          <cell r="O14">
            <v>18.399999999999999</v>
          </cell>
          <cell r="P14">
            <v>28.5</v>
          </cell>
          <cell r="Q14">
            <v>22.52</v>
          </cell>
        </row>
        <row r="15">
          <cell r="A15">
            <v>14</v>
          </cell>
          <cell r="B15" t="str">
            <v>Dixie</v>
          </cell>
          <cell r="C15" t="str">
            <v>substantial</v>
          </cell>
          <cell r="D15">
            <v>44305</v>
          </cell>
          <cell r="E15">
            <v>83.2</v>
          </cell>
          <cell r="F15">
            <v>2435</v>
          </cell>
          <cell r="G15">
            <v>0.14499999999999999</v>
          </cell>
          <cell r="H15">
            <v>2435</v>
          </cell>
          <cell r="I15">
            <v>0.17699999999999999</v>
          </cell>
          <cell r="J15">
            <v>1857</v>
          </cell>
          <cell r="K15">
            <v>0.46600000000000003</v>
          </cell>
          <cell r="L15">
            <v>16826</v>
          </cell>
          <cell r="M15">
            <v>23.86</v>
          </cell>
          <cell r="N15">
            <v>2.2799999999999998</v>
          </cell>
          <cell r="O15">
            <v>17.2</v>
          </cell>
          <cell r="P15">
            <v>23.1</v>
          </cell>
          <cell r="Q15">
            <v>23.68</v>
          </cell>
        </row>
        <row r="16">
          <cell r="A16">
            <v>15</v>
          </cell>
          <cell r="B16" t="str">
            <v>Duval</v>
          </cell>
          <cell r="C16" t="str">
            <v>high</v>
          </cell>
          <cell r="D16">
            <v>44305</v>
          </cell>
          <cell r="E16">
            <v>122.89</v>
          </cell>
          <cell r="F16">
            <v>224710</v>
          </cell>
          <cell r="G16">
            <v>0.23499999999999999</v>
          </cell>
          <cell r="H16">
            <v>224473</v>
          </cell>
          <cell r="I16">
            <v>0.30299999999999999</v>
          </cell>
          <cell r="J16">
            <v>97049</v>
          </cell>
          <cell r="K16">
            <v>0.7</v>
          </cell>
          <cell r="L16">
            <v>957755</v>
          </cell>
          <cell r="M16">
            <v>1255.8599999999999</v>
          </cell>
          <cell r="N16">
            <v>2.5499999999999998</v>
          </cell>
          <cell r="O16">
            <v>12</v>
          </cell>
          <cell r="P16">
            <v>15.5</v>
          </cell>
          <cell r="Q16">
            <v>14.47</v>
          </cell>
        </row>
        <row r="17">
          <cell r="A17">
            <v>16</v>
          </cell>
          <cell r="B17" t="str">
            <v>Escambia</v>
          </cell>
          <cell r="C17" t="str">
            <v>substantial</v>
          </cell>
          <cell r="D17">
            <v>44305</v>
          </cell>
          <cell r="E17">
            <v>83.88</v>
          </cell>
          <cell r="F17">
            <v>69139</v>
          </cell>
          <cell r="G17">
            <v>0.217</v>
          </cell>
          <cell r="H17">
            <v>69104</v>
          </cell>
          <cell r="I17">
            <v>0.27400000000000002</v>
          </cell>
          <cell r="J17">
            <v>35525</v>
          </cell>
          <cell r="K17">
            <v>0.65100000000000002</v>
          </cell>
          <cell r="L17">
            <v>318316</v>
          </cell>
          <cell r="M17">
            <v>484.52</v>
          </cell>
          <cell r="N17">
            <v>2.4700000000000002</v>
          </cell>
          <cell r="O17">
            <v>10.199999999999999</v>
          </cell>
          <cell r="P17">
            <v>13.9</v>
          </cell>
          <cell r="Q17">
            <v>17.14</v>
          </cell>
        </row>
        <row r="18">
          <cell r="A18">
            <v>17</v>
          </cell>
          <cell r="B18" t="str">
            <v>Flagler</v>
          </cell>
          <cell r="C18" t="str">
            <v>high</v>
          </cell>
          <cell r="D18">
            <v>44305</v>
          </cell>
          <cell r="E18">
            <v>121.65</v>
          </cell>
          <cell r="F18">
            <v>33680</v>
          </cell>
          <cell r="G18">
            <v>0.29299999999999998</v>
          </cell>
          <cell r="H18">
            <v>33670</v>
          </cell>
          <cell r="I18">
            <v>0.35099999999999998</v>
          </cell>
          <cell r="J18">
            <v>24681</v>
          </cell>
          <cell r="K18">
            <v>0.68799999999999994</v>
          </cell>
          <cell r="L18">
            <v>115081</v>
          </cell>
          <cell r="M18">
            <v>237.21</v>
          </cell>
          <cell r="N18">
            <v>2.62</v>
          </cell>
          <cell r="O18">
            <v>12.7</v>
          </cell>
          <cell r="P18">
            <v>11.9</v>
          </cell>
          <cell r="Q18">
            <v>31.19</v>
          </cell>
        </row>
        <row r="19">
          <cell r="A19">
            <v>18</v>
          </cell>
          <cell r="B19" t="str">
            <v>Franklin</v>
          </cell>
          <cell r="C19" t="str">
            <v>high</v>
          </cell>
          <cell r="D19">
            <v>44305</v>
          </cell>
          <cell r="E19" t="str">
            <v>suppressed</v>
          </cell>
          <cell r="F19">
            <v>2928</v>
          </cell>
          <cell r="G19">
            <v>0.24099999999999999</v>
          </cell>
          <cell r="H19">
            <v>2928</v>
          </cell>
          <cell r="I19">
            <v>0.28499999999999998</v>
          </cell>
          <cell r="J19">
            <v>2060</v>
          </cell>
          <cell r="K19">
            <v>0.70399999999999996</v>
          </cell>
          <cell r="L19">
            <v>12125</v>
          </cell>
          <cell r="M19">
            <v>22.24</v>
          </cell>
          <cell r="N19">
            <v>2.35</v>
          </cell>
          <cell r="O19">
            <v>18.3</v>
          </cell>
          <cell r="P19">
            <v>20.7</v>
          </cell>
          <cell r="Q19">
            <v>24.13</v>
          </cell>
        </row>
        <row r="20">
          <cell r="A20">
            <v>19</v>
          </cell>
          <cell r="B20" t="str">
            <v>Gadsden</v>
          </cell>
          <cell r="C20" t="str">
            <v>moderate</v>
          </cell>
          <cell r="D20">
            <v>44305</v>
          </cell>
          <cell r="E20">
            <v>43.8</v>
          </cell>
          <cell r="F20">
            <v>11413</v>
          </cell>
          <cell r="G20">
            <v>0.25</v>
          </cell>
          <cell r="H20">
            <v>11407</v>
          </cell>
          <cell r="I20">
            <v>0.31900000000000001</v>
          </cell>
          <cell r="J20">
            <v>5948</v>
          </cell>
          <cell r="K20">
            <v>0.69599999999999995</v>
          </cell>
          <cell r="L20">
            <v>45660</v>
          </cell>
          <cell r="M20">
            <v>88.44</v>
          </cell>
          <cell r="N20">
            <v>2.4700000000000002</v>
          </cell>
          <cell r="O20">
            <v>14.9</v>
          </cell>
          <cell r="P20">
            <v>24.6</v>
          </cell>
          <cell r="Q20">
            <v>18.7</v>
          </cell>
        </row>
        <row r="21">
          <cell r="A21">
            <v>20</v>
          </cell>
          <cell r="B21" t="str">
            <v>Gilchrist</v>
          </cell>
          <cell r="C21" t="str">
            <v>high</v>
          </cell>
          <cell r="D21">
            <v>44305</v>
          </cell>
          <cell r="E21">
            <v>145.30000000000001</v>
          </cell>
          <cell r="F21">
            <v>2764</v>
          </cell>
          <cell r="G21">
            <v>0.14899999999999999</v>
          </cell>
          <cell r="H21">
            <v>2762</v>
          </cell>
          <cell r="I21">
            <v>0.186</v>
          </cell>
          <cell r="J21">
            <v>1829</v>
          </cell>
          <cell r="K21">
            <v>0.47699999999999998</v>
          </cell>
          <cell r="L21">
            <v>18582</v>
          </cell>
          <cell r="M21">
            <v>53.14</v>
          </cell>
          <cell r="N21">
            <v>2.5</v>
          </cell>
          <cell r="O21">
            <v>18.100000000000001</v>
          </cell>
          <cell r="P21">
            <v>17.899999999999999</v>
          </cell>
          <cell r="Q21">
            <v>20.65</v>
          </cell>
        </row>
        <row r="22">
          <cell r="A22">
            <v>21</v>
          </cell>
          <cell r="B22" t="str">
            <v>Glades</v>
          </cell>
          <cell r="C22" t="str">
            <v>substantial</v>
          </cell>
          <cell r="D22">
            <v>44305</v>
          </cell>
          <cell r="E22" t="str">
            <v>suppressed</v>
          </cell>
          <cell r="F22">
            <v>1780</v>
          </cell>
          <cell r="G22">
            <v>0.129</v>
          </cell>
          <cell r="H22">
            <v>1780</v>
          </cell>
          <cell r="I22">
            <v>0.151</v>
          </cell>
          <cell r="J22">
            <v>1328</v>
          </cell>
          <cell r="K22">
            <v>0.34899999999999998</v>
          </cell>
          <cell r="L22">
            <v>13811</v>
          </cell>
          <cell r="M22">
            <v>17.12</v>
          </cell>
          <cell r="N22">
            <v>2.71</v>
          </cell>
          <cell r="O22">
            <v>19.899999999999999</v>
          </cell>
          <cell r="P22">
            <v>17</v>
          </cell>
          <cell r="Q22">
            <v>27.57</v>
          </cell>
        </row>
        <row r="23">
          <cell r="A23">
            <v>22</v>
          </cell>
          <cell r="B23" t="str">
            <v>Gulf</v>
          </cell>
          <cell r="C23" t="str">
            <v>moderate</v>
          </cell>
          <cell r="D23">
            <v>44305</v>
          </cell>
          <cell r="E23" t="str">
            <v>suppressed</v>
          </cell>
          <cell r="F23">
            <v>3146</v>
          </cell>
          <cell r="G23">
            <v>0.23100000000000001</v>
          </cell>
          <cell r="H23">
            <v>3146</v>
          </cell>
          <cell r="I23">
            <v>0.28199999999999997</v>
          </cell>
          <cell r="J23">
            <v>2302</v>
          </cell>
          <cell r="K23">
            <v>0.63700000000000001</v>
          </cell>
          <cell r="L23">
            <v>13639</v>
          </cell>
          <cell r="M23">
            <v>24.64</v>
          </cell>
          <cell r="N23">
            <v>2.5499999999999998</v>
          </cell>
          <cell r="O23">
            <v>11.4</v>
          </cell>
          <cell r="P23">
            <v>13.9</v>
          </cell>
          <cell r="Q23">
            <v>26.5</v>
          </cell>
        </row>
        <row r="24">
          <cell r="A24">
            <v>23</v>
          </cell>
          <cell r="B24" t="str">
            <v>Hamilton</v>
          </cell>
          <cell r="C24" t="str">
            <v>substantial</v>
          </cell>
          <cell r="D24">
            <v>44305</v>
          </cell>
          <cell r="E24">
            <v>90.1</v>
          </cell>
          <cell r="F24">
            <v>2255</v>
          </cell>
          <cell r="G24">
            <v>0.156</v>
          </cell>
          <cell r="H24">
            <v>2255</v>
          </cell>
          <cell r="I24">
            <v>0.193</v>
          </cell>
          <cell r="J24">
            <v>1504</v>
          </cell>
          <cell r="K24">
            <v>0.56499999999999995</v>
          </cell>
          <cell r="L24">
            <v>14428</v>
          </cell>
          <cell r="M24">
            <v>28.08</v>
          </cell>
          <cell r="N24">
            <v>2.44</v>
          </cell>
          <cell r="O24">
            <v>14.3</v>
          </cell>
          <cell r="P24">
            <v>29.5</v>
          </cell>
          <cell r="Q24">
            <v>18.46</v>
          </cell>
        </row>
        <row r="25">
          <cell r="A25">
            <v>24</v>
          </cell>
          <cell r="B25" t="str">
            <v>Hardee</v>
          </cell>
          <cell r="C25" t="str">
            <v>high</v>
          </cell>
          <cell r="D25">
            <v>44305</v>
          </cell>
          <cell r="E25">
            <v>167.06</v>
          </cell>
          <cell r="F25">
            <v>3214</v>
          </cell>
          <cell r="G25">
            <v>0.11899999999999999</v>
          </cell>
          <cell r="H25">
            <v>3213</v>
          </cell>
          <cell r="I25">
            <v>0.16</v>
          </cell>
          <cell r="J25">
            <v>2362</v>
          </cell>
          <cell r="K25">
            <v>0.503</v>
          </cell>
          <cell r="L25">
            <v>26937</v>
          </cell>
          <cell r="M25">
            <v>42.25</v>
          </cell>
          <cell r="N25">
            <v>3.22</v>
          </cell>
          <cell r="O25">
            <v>12.2</v>
          </cell>
          <cell r="P25">
            <v>26.7</v>
          </cell>
          <cell r="Q25">
            <v>17.43</v>
          </cell>
        </row>
        <row r="26">
          <cell r="A26">
            <v>25</v>
          </cell>
          <cell r="B26" t="str">
            <v>Hendry</v>
          </cell>
          <cell r="C26" t="str">
            <v>high</v>
          </cell>
          <cell r="D26">
            <v>44305</v>
          </cell>
          <cell r="E26">
            <v>116.61</v>
          </cell>
          <cell r="F26">
            <v>6242</v>
          </cell>
          <cell r="G26">
            <v>0.14899999999999999</v>
          </cell>
          <cell r="H26">
            <v>6239</v>
          </cell>
          <cell r="I26">
            <v>0.20300000000000001</v>
          </cell>
          <cell r="J26">
            <v>3587</v>
          </cell>
          <cell r="K26">
            <v>0.621</v>
          </cell>
          <cell r="L26">
            <v>42022</v>
          </cell>
          <cell r="M26">
            <v>36.340000000000003</v>
          </cell>
          <cell r="N26">
            <v>3.17</v>
          </cell>
          <cell r="O26">
            <v>26.2</v>
          </cell>
          <cell r="P26">
            <v>26.8</v>
          </cell>
          <cell r="Q26">
            <v>13.75</v>
          </cell>
        </row>
        <row r="27">
          <cell r="A27">
            <v>26</v>
          </cell>
          <cell r="B27" t="str">
            <v>Hernando</v>
          </cell>
          <cell r="C27" t="str">
            <v>high</v>
          </cell>
          <cell r="D27">
            <v>44305</v>
          </cell>
          <cell r="E27">
            <v>166.05</v>
          </cell>
          <cell r="F27">
            <v>43914</v>
          </cell>
          <cell r="G27">
            <v>0.22600000000000001</v>
          </cell>
          <cell r="H27">
            <v>43895</v>
          </cell>
          <cell r="I27">
            <v>0.27700000000000002</v>
          </cell>
          <cell r="J27">
            <v>31235</v>
          </cell>
          <cell r="K27">
            <v>0.58499999999999996</v>
          </cell>
          <cell r="L27">
            <v>193920</v>
          </cell>
          <cell r="M27">
            <v>410.01</v>
          </cell>
          <cell r="N27">
            <v>2.46</v>
          </cell>
          <cell r="O27">
            <v>12.6</v>
          </cell>
          <cell r="P27">
            <v>14.3</v>
          </cell>
          <cell r="Q27">
            <v>27.51</v>
          </cell>
        </row>
        <row r="28">
          <cell r="A28">
            <v>27</v>
          </cell>
          <cell r="B28" t="str">
            <v>Highlands</v>
          </cell>
          <cell r="C28" t="str">
            <v>high</v>
          </cell>
          <cell r="D28">
            <v>44305</v>
          </cell>
          <cell r="E28">
            <v>177.93</v>
          </cell>
          <cell r="F28">
            <v>24646</v>
          </cell>
          <cell r="G28">
            <v>0.23200000000000001</v>
          </cell>
          <cell r="H28">
            <v>24644</v>
          </cell>
          <cell r="I28">
            <v>0.27900000000000003</v>
          </cell>
          <cell r="J28">
            <v>19734</v>
          </cell>
          <cell r="K28">
            <v>0.51500000000000001</v>
          </cell>
          <cell r="L28">
            <v>106221</v>
          </cell>
          <cell r="M28">
            <v>104.38</v>
          </cell>
          <cell r="N28">
            <v>2.44</v>
          </cell>
          <cell r="O28">
            <v>12.7</v>
          </cell>
          <cell r="P28">
            <v>19.2</v>
          </cell>
          <cell r="Q28">
            <v>36.049999999999997</v>
          </cell>
        </row>
        <row r="29">
          <cell r="A29">
            <v>28</v>
          </cell>
          <cell r="B29" t="str">
            <v>Hillsborough</v>
          </cell>
          <cell r="C29" t="str">
            <v>high</v>
          </cell>
          <cell r="D29">
            <v>44305</v>
          </cell>
          <cell r="E29">
            <v>229.9</v>
          </cell>
          <cell r="F29">
            <v>307024</v>
          </cell>
          <cell r="G29">
            <v>0.20899999999999999</v>
          </cell>
          <cell r="H29">
            <v>306739</v>
          </cell>
          <cell r="I29">
            <v>0.26700000000000002</v>
          </cell>
          <cell r="J29">
            <v>128300</v>
          </cell>
          <cell r="K29">
            <v>0.59899999999999998</v>
          </cell>
          <cell r="L29">
            <v>1471968</v>
          </cell>
          <cell r="M29">
            <v>1440.39</v>
          </cell>
          <cell r="N29">
            <v>2.63</v>
          </cell>
          <cell r="O29">
            <v>13</v>
          </cell>
          <cell r="P29">
            <v>15.3</v>
          </cell>
          <cell r="Q29">
            <v>14.54</v>
          </cell>
        </row>
        <row r="30">
          <cell r="A30">
            <v>29</v>
          </cell>
          <cell r="B30" t="str">
            <v>Holmes</v>
          </cell>
          <cell r="C30" t="str">
            <v>moderate</v>
          </cell>
          <cell r="D30">
            <v>44305</v>
          </cell>
          <cell r="E30" t="str">
            <v>suppressed</v>
          </cell>
          <cell r="F30">
            <v>2552</v>
          </cell>
          <cell r="G30">
            <v>0.13</v>
          </cell>
          <cell r="H30">
            <v>2551</v>
          </cell>
          <cell r="I30">
            <v>0.16300000000000001</v>
          </cell>
          <cell r="J30">
            <v>1715</v>
          </cell>
          <cell r="K30">
            <v>0.437</v>
          </cell>
          <cell r="L30">
            <v>19617</v>
          </cell>
          <cell r="M30">
            <v>40.97</v>
          </cell>
          <cell r="N30">
            <v>2.5099999999999998</v>
          </cell>
          <cell r="O30">
            <v>18.899999999999999</v>
          </cell>
          <cell r="P30">
            <v>25.6</v>
          </cell>
          <cell r="Q30">
            <v>19.989999999999998</v>
          </cell>
        </row>
        <row r="31">
          <cell r="A31">
            <v>30</v>
          </cell>
          <cell r="B31" t="str">
            <v>Indian River</v>
          </cell>
          <cell r="C31" t="str">
            <v>high</v>
          </cell>
          <cell r="D31">
            <v>44305</v>
          </cell>
          <cell r="E31">
            <v>114.43</v>
          </cell>
          <cell r="F31">
            <v>47745</v>
          </cell>
          <cell r="G31">
            <v>0.29899999999999999</v>
          </cell>
          <cell r="H31">
            <v>47729</v>
          </cell>
          <cell r="I31">
            <v>0.35399999999999998</v>
          </cell>
          <cell r="J31">
            <v>36372</v>
          </cell>
          <cell r="K31">
            <v>0.67200000000000004</v>
          </cell>
          <cell r="L31">
            <v>159923</v>
          </cell>
          <cell r="M31">
            <v>318.08</v>
          </cell>
          <cell r="N31">
            <v>2.6</v>
          </cell>
          <cell r="O31">
            <v>12.1</v>
          </cell>
          <cell r="P31">
            <v>12.2</v>
          </cell>
          <cell r="Q31">
            <v>33.85</v>
          </cell>
        </row>
        <row r="32">
          <cell r="A32">
            <v>31</v>
          </cell>
          <cell r="B32" t="str">
            <v>Jackson</v>
          </cell>
          <cell r="C32" t="str">
            <v>moderate</v>
          </cell>
          <cell r="D32">
            <v>44305</v>
          </cell>
          <cell r="E32">
            <v>45.24</v>
          </cell>
          <cell r="F32">
            <v>8652</v>
          </cell>
          <cell r="G32">
            <v>0.186</v>
          </cell>
          <cell r="H32">
            <v>8651</v>
          </cell>
          <cell r="I32">
            <v>0.23</v>
          </cell>
          <cell r="J32">
            <v>5193</v>
          </cell>
          <cell r="K32">
            <v>0.54300000000000004</v>
          </cell>
          <cell r="L32">
            <v>46414</v>
          </cell>
          <cell r="M32">
            <v>50.55</v>
          </cell>
          <cell r="N32">
            <v>2.4</v>
          </cell>
          <cell r="O32">
            <v>11.3</v>
          </cell>
          <cell r="P32">
            <v>20.6</v>
          </cell>
          <cell r="Q32">
            <v>20.62</v>
          </cell>
        </row>
        <row r="33">
          <cell r="A33">
            <v>32</v>
          </cell>
          <cell r="B33" t="str">
            <v>Jefferson</v>
          </cell>
          <cell r="C33" t="str">
            <v>high</v>
          </cell>
          <cell r="D33">
            <v>44305</v>
          </cell>
          <cell r="E33">
            <v>119.33</v>
          </cell>
          <cell r="F33">
            <v>4427</v>
          </cell>
          <cell r="G33">
            <v>0.311</v>
          </cell>
          <cell r="H33">
            <v>4427</v>
          </cell>
          <cell r="I33">
            <v>0.372</v>
          </cell>
          <cell r="J33">
            <v>3182</v>
          </cell>
          <cell r="K33">
            <v>0.90600000000000003</v>
          </cell>
          <cell r="L33">
            <v>14246</v>
          </cell>
          <cell r="M33">
            <v>23.82</v>
          </cell>
          <cell r="N33">
            <v>2.04</v>
          </cell>
          <cell r="O33">
            <v>6.4</v>
          </cell>
          <cell r="P33">
            <v>14.1</v>
          </cell>
          <cell r="Q33">
            <v>24.65</v>
          </cell>
        </row>
        <row r="34">
          <cell r="A34">
            <v>33</v>
          </cell>
          <cell r="B34" t="str">
            <v>Lafayette</v>
          </cell>
          <cell r="C34" t="str">
            <v>moderate</v>
          </cell>
          <cell r="D34">
            <v>44305</v>
          </cell>
          <cell r="E34" t="str">
            <v>suppressed</v>
          </cell>
          <cell r="F34">
            <v>1294</v>
          </cell>
          <cell r="G34">
            <v>0.154</v>
          </cell>
          <cell r="H34">
            <v>1294</v>
          </cell>
          <cell r="I34">
            <v>0.192</v>
          </cell>
          <cell r="J34">
            <v>1058</v>
          </cell>
          <cell r="K34">
            <v>0.72699999999999998</v>
          </cell>
          <cell r="L34">
            <v>8422</v>
          </cell>
          <cell r="M34">
            <v>15.5</v>
          </cell>
          <cell r="N34">
            <v>3.43</v>
          </cell>
          <cell r="O34">
            <v>17.600000000000001</v>
          </cell>
          <cell r="P34">
            <v>20.100000000000001</v>
          </cell>
          <cell r="Q34">
            <v>17.28</v>
          </cell>
        </row>
        <row r="35">
          <cell r="A35">
            <v>34</v>
          </cell>
          <cell r="B35" t="str">
            <v>Lake</v>
          </cell>
          <cell r="C35" t="str">
            <v>high</v>
          </cell>
          <cell r="D35">
            <v>44305</v>
          </cell>
          <cell r="E35">
            <v>178.69</v>
          </cell>
          <cell r="F35">
            <v>106103</v>
          </cell>
          <cell r="G35">
            <v>0.28899999999999998</v>
          </cell>
          <cell r="H35">
            <v>106010</v>
          </cell>
          <cell r="I35">
            <v>0.35599999999999998</v>
          </cell>
          <cell r="J35">
            <v>74780</v>
          </cell>
          <cell r="K35">
            <v>0.752</v>
          </cell>
          <cell r="L35">
            <v>367118</v>
          </cell>
          <cell r="M35">
            <v>386.13</v>
          </cell>
          <cell r="N35">
            <v>2.5499999999999998</v>
          </cell>
          <cell r="O35">
            <v>11.6</v>
          </cell>
          <cell r="P35">
            <v>12.5</v>
          </cell>
          <cell r="Q35">
            <v>27.07</v>
          </cell>
        </row>
        <row r="36">
          <cell r="A36">
            <v>35</v>
          </cell>
          <cell r="B36" t="str">
            <v>Lee</v>
          </cell>
          <cell r="C36" t="str">
            <v>high</v>
          </cell>
          <cell r="D36">
            <v>44305</v>
          </cell>
          <cell r="E36">
            <v>208.67</v>
          </cell>
          <cell r="F36">
            <v>191102</v>
          </cell>
          <cell r="G36">
            <v>0.248</v>
          </cell>
          <cell r="H36">
            <v>191063</v>
          </cell>
          <cell r="I36">
            <v>0.3</v>
          </cell>
          <cell r="J36">
            <v>143495</v>
          </cell>
          <cell r="K36">
            <v>0.63900000000000001</v>
          </cell>
          <cell r="L36">
            <v>770577</v>
          </cell>
          <cell r="M36">
            <v>986.08</v>
          </cell>
          <cell r="N36">
            <v>2.61</v>
          </cell>
          <cell r="O36">
            <v>14.3</v>
          </cell>
          <cell r="P36">
            <v>14</v>
          </cell>
          <cell r="Q36">
            <v>29.15</v>
          </cell>
        </row>
        <row r="37">
          <cell r="A37">
            <v>36</v>
          </cell>
          <cell r="B37" t="str">
            <v>Leon</v>
          </cell>
          <cell r="C37" t="str">
            <v>substantial</v>
          </cell>
          <cell r="D37">
            <v>44305</v>
          </cell>
          <cell r="E37">
            <v>92.31</v>
          </cell>
          <cell r="F37">
            <v>69464</v>
          </cell>
          <cell r="G37">
            <v>0.23699999999999999</v>
          </cell>
          <cell r="H37">
            <v>69371</v>
          </cell>
          <cell r="I37">
            <v>0.28999999999999998</v>
          </cell>
          <cell r="J37">
            <v>31548</v>
          </cell>
          <cell r="K37">
            <v>0.77400000000000002</v>
          </cell>
          <cell r="L37">
            <v>293582</v>
          </cell>
          <cell r="M37">
            <v>440.23</v>
          </cell>
          <cell r="N37">
            <v>2.4300000000000002</v>
          </cell>
          <cell r="O37">
            <v>8.1999999999999993</v>
          </cell>
          <cell r="P37">
            <v>20.399999999999999</v>
          </cell>
          <cell r="Q37">
            <v>13.89</v>
          </cell>
        </row>
        <row r="38">
          <cell r="A38">
            <v>37</v>
          </cell>
          <cell r="B38" t="str">
            <v>Levy</v>
          </cell>
          <cell r="C38" t="str">
            <v>high</v>
          </cell>
          <cell r="D38">
            <v>44305</v>
          </cell>
          <cell r="E38">
            <v>197.58</v>
          </cell>
          <cell r="F38">
            <v>7414</v>
          </cell>
          <cell r="G38">
            <v>0.17899999999999999</v>
          </cell>
          <cell r="H38">
            <v>7409</v>
          </cell>
          <cell r="I38">
            <v>0.222</v>
          </cell>
          <cell r="J38">
            <v>5304</v>
          </cell>
          <cell r="K38">
            <v>0.50800000000000001</v>
          </cell>
          <cell r="L38">
            <v>41503</v>
          </cell>
          <cell r="M38">
            <v>37.119999999999997</v>
          </cell>
          <cell r="N38">
            <v>2.41</v>
          </cell>
          <cell r="O38">
            <v>15.5</v>
          </cell>
          <cell r="P38">
            <v>20.7</v>
          </cell>
          <cell r="Q38">
            <v>25.15</v>
          </cell>
        </row>
        <row r="39">
          <cell r="A39">
            <v>38</v>
          </cell>
          <cell r="B39" t="str">
            <v>Liberty</v>
          </cell>
          <cell r="C39" t="str">
            <v>moderate</v>
          </cell>
          <cell r="D39">
            <v>44305</v>
          </cell>
          <cell r="E39" t="str">
            <v>suppressed</v>
          </cell>
          <cell r="F39">
            <v>1167</v>
          </cell>
          <cell r="G39">
            <v>0.14000000000000001</v>
          </cell>
          <cell r="H39">
            <v>1167</v>
          </cell>
          <cell r="I39">
            <v>0.16900000000000001</v>
          </cell>
          <cell r="J39">
            <v>706</v>
          </cell>
          <cell r="K39">
            <v>0.56200000000000006</v>
          </cell>
          <cell r="L39">
            <v>8354</v>
          </cell>
          <cell r="M39">
            <v>10</v>
          </cell>
          <cell r="N39">
            <v>2.9</v>
          </cell>
          <cell r="O39">
            <v>18.5</v>
          </cell>
          <cell r="P39">
            <v>13</v>
          </cell>
          <cell r="Q39">
            <v>15.04</v>
          </cell>
        </row>
        <row r="40">
          <cell r="A40">
            <v>39</v>
          </cell>
          <cell r="B40" t="str">
            <v>Madison</v>
          </cell>
          <cell r="C40" t="str">
            <v>moderate</v>
          </cell>
          <cell r="D40">
            <v>44305</v>
          </cell>
          <cell r="E40" t="str">
            <v>suppressed</v>
          </cell>
          <cell r="F40">
            <v>3788</v>
          </cell>
          <cell r="G40">
            <v>0.20499999999999999</v>
          </cell>
          <cell r="H40">
            <v>3787</v>
          </cell>
          <cell r="I40">
            <v>0.251</v>
          </cell>
          <cell r="J40">
            <v>2428</v>
          </cell>
          <cell r="K40">
            <v>0.622</v>
          </cell>
          <cell r="L40">
            <v>18493</v>
          </cell>
          <cell r="M40">
            <v>26.55</v>
          </cell>
          <cell r="N40">
            <v>2.4500000000000002</v>
          </cell>
          <cell r="O40">
            <v>13.1</v>
          </cell>
          <cell r="P40">
            <v>28.2</v>
          </cell>
          <cell r="Q40">
            <v>21.1</v>
          </cell>
        </row>
        <row r="41">
          <cell r="A41">
            <v>40</v>
          </cell>
          <cell r="B41" t="str">
            <v>Manatee</v>
          </cell>
          <cell r="C41" t="str">
            <v>high</v>
          </cell>
          <cell r="D41">
            <v>44305</v>
          </cell>
          <cell r="E41">
            <v>211.03</v>
          </cell>
          <cell r="F41">
            <v>99407</v>
          </cell>
          <cell r="G41">
            <v>0.247</v>
          </cell>
          <cell r="H41">
            <v>99384</v>
          </cell>
          <cell r="I41">
            <v>0.3</v>
          </cell>
          <cell r="J41">
            <v>71770</v>
          </cell>
          <cell r="K41">
            <v>0.63400000000000001</v>
          </cell>
          <cell r="L41">
            <v>403253</v>
          </cell>
          <cell r="M41">
            <v>542.28</v>
          </cell>
          <cell r="N41">
            <v>2.57</v>
          </cell>
          <cell r="O41">
            <v>12.7</v>
          </cell>
          <cell r="P41">
            <v>12.5</v>
          </cell>
          <cell r="Q41">
            <v>28.06</v>
          </cell>
        </row>
        <row r="42">
          <cell r="A42">
            <v>41</v>
          </cell>
          <cell r="B42" t="str">
            <v>Marion</v>
          </cell>
          <cell r="C42" t="str">
            <v>high</v>
          </cell>
          <cell r="D42">
            <v>44305</v>
          </cell>
          <cell r="E42">
            <v>109.69</v>
          </cell>
          <cell r="F42">
            <v>89056</v>
          </cell>
          <cell r="G42">
            <v>0.24399999999999999</v>
          </cell>
          <cell r="H42">
            <v>89033</v>
          </cell>
          <cell r="I42">
            <v>0.29899999999999999</v>
          </cell>
          <cell r="J42">
            <v>64938</v>
          </cell>
          <cell r="K42">
            <v>0.60899999999999999</v>
          </cell>
          <cell r="L42">
            <v>365579</v>
          </cell>
          <cell r="M42">
            <v>230.15</v>
          </cell>
          <cell r="N42">
            <v>2.48</v>
          </cell>
          <cell r="O42">
            <v>12.3</v>
          </cell>
          <cell r="P42">
            <v>16.600000000000001</v>
          </cell>
          <cell r="Q42">
            <v>29.18</v>
          </cell>
        </row>
        <row r="43">
          <cell r="A43">
            <v>42</v>
          </cell>
          <cell r="B43" t="str">
            <v>Martin</v>
          </cell>
          <cell r="C43" t="str">
            <v>high</v>
          </cell>
          <cell r="D43">
            <v>44305</v>
          </cell>
          <cell r="E43">
            <v>124.22</v>
          </cell>
          <cell r="F43">
            <v>47555</v>
          </cell>
          <cell r="G43">
            <v>0.29499999999999998</v>
          </cell>
          <cell r="H43">
            <v>47536</v>
          </cell>
          <cell r="I43">
            <v>0.35199999999999998</v>
          </cell>
          <cell r="J43">
            <v>36162</v>
          </cell>
          <cell r="K43">
            <v>0.71199999999999997</v>
          </cell>
          <cell r="L43">
            <v>161000</v>
          </cell>
          <cell r="M43">
            <v>296.05</v>
          </cell>
          <cell r="N43">
            <v>2.41</v>
          </cell>
          <cell r="O43">
            <v>11.5</v>
          </cell>
          <cell r="P43">
            <v>10.5</v>
          </cell>
          <cell r="Q43">
            <v>31.53</v>
          </cell>
        </row>
        <row r="44">
          <cell r="A44">
            <v>43</v>
          </cell>
          <cell r="B44" t="str">
            <v>Miami-Dade</v>
          </cell>
          <cell r="C44" t="str">
            <v>high</v>
          </cell>
          <cell r="D44">
            <v>44305</v>
          </cell>
          <cell r="E44">
            <v>346.53</v>
          </cell>
          <cell r="F44">
            <v>680659</v>
          </cell>
          <cell r="G44">
            <v>0.251</v>
          </cell>
          <cell r="H44">
            <v>679218</v>
          </cell>
          <cell r="I44">
            <v>0.313</v>
          </cell>
          <cell r="J44">
            <v>297413</v>
          </cell>
          <cell r="K44">
            <v>0.65700000000000003</v>
          </cell>
          <cell r="L44">
            <v>2716940</v>
          </cell>
          <cell r="M44">
            <v>1430.09</v>
          </cell>
          <cell r="N44">
            <v>3.07</v>
          </cell>
          <cell r="O44">
            <v>18.100000000000001</v>
          </cell>
          <cell r="P44">
            <v>18</v>
          </cell>
          <cell r="Q44">
            <v>16.66</v>
          </cell>
        </row>
        <row r="45">
          <cell r="A45">
            <v>44</v>
          </cell>
          <cell r="B45" t="str">
            <v>Monroe</v>
          </cell>
          <cell r="C45" t="str">
            <v>high</v>
          </cell>
          <cell r="D45">
            <v>44305</v>
          </cell>
          <cell r="E45">
            <v>136.07</v>
          </cell>
          <cell r="F45">
            <v>21627</v>
          </cell>
          <cell r="G45">
            <v>0.29099999999999998</v>
          </cell>
          <cell r="H45">
            <v>21618</v>
          </cell>
          <cell r="I45">
            <v>0.34300000000000003</v>
          </cell>
          <cell r="J45">
            <v>13334</v>
          </cell>
          <cell r="K45">
            <v>0.75600000000000001</v>
          </cell>
          <cell r="L45">
            <v>74228</v>
          </cell>
          <cell r="M45">
            <v>75.510000000000005</v>
          </cell>
          <cell r="N45">
            <v>2.39</v>
          </cell>
          <cell r="O45">
            <v>17.8</v>
          </cell>
          <cell r="P45">
            <v>11.8</v>
          </cell>
          <cell r="Q45">
            <v>23.75</v>
          </cell>
        </row>
        <row r="46">
          <cell r="A46">
            <v>45</v>
          </cell>
          <cell r="B46" t="str">
            <v>Nassau</v>
          </cell>
          <cell r="C46" t="str">
            <v>substantial</v>
          </cell>
          <cell r="D46">
            <v>44305</v>
          </cell>
          <cell r="E46">
            <v>83.5</v>
          </cell>
          <cell r="F46">
            <v>25172</v>
          </cell>
          <cell r="G46">
            <v>0.28399999999999997</v>
          </cell>
          <cell r="H46">
            <v>25158</v>
          </cell>
          <cell r="I46">
            <v>0.35399999999999998</v>
          </cell>
          <cell r="J46">
            <v>15581</v>
          </cell>
          <cell r="K46">
            <v>0.77</v>
          </cell>
          <cell r="L46">
            <v>88625</v>
          </cell>
          <cell r="M46">
            <v>136.62</v>
          </cell>
          <cell r="N46">
            <v>2.5499999999999998</v>
          </cell>
          <cell r="O46">
            <v>11</v>
          </cell>
          <cell r="P46">
            <v>10.199999999999999</v>
          </cell>
          <cell r="Q46">
            <v>22.83</v>
          </cell>
        </row>
        <row r="47">
          <cell r="A47">
            <v>46</v>
          </cell>
          <cell r="B47" t="str">
            <v>Okaloosa</v>
          </cell>
          <cell r="C47" t="str">
            <v>substantial</v>
          </cell>
          <cell r="D47">
            <v>44305</v>
          </cell>
          <cell r="E47">
            <v>81.62</v>
          </cell>
          <cell r="F47">
            <v>44920</v>
          </cell>
          <cell r="G47">
            <v>0.21299999999999999</v>
          </cell>
          <cell r="H47">
            <v>44896</v>
          </cell>
          <cell r="I47">
            <v>0.27400000000000002</v>
          </cell>
          <cell r="J47">
            <v>24284</v>
          </cell>
          <cell r="K47">
            <v>0.70599999999999996</v>
          </cell>
          <cell r="L47">
            <v>210738</v>
          </cell>
          <cell r="M47">
            <v>226.55</v>
          </cell>
          <cell r="N47">
            <v>2.52</v>
          </cell>
          <cell r="O47">
            <v>12.2</v>
          </cell>
          <cell r="P47">
            <v>11.5</v>
          </cell>
          <cell r="Q47">
            <v>16.309999999999999</v>
          </cell>
        </row>
        <row r="48">
          <cell r="A48">
            <v>47</v>
          </cell>
          <cell r="B48" t="str">
            <v>Okeechobee</v>
          </cell>
          <cell r="C48" t="str">
            <v>high</v>
          </cell>
          <cell r="D48">
            <v>44305</v>
          </cell>
          <cell r="E48">
            <v>149.4</v>
          </cell>
          <cell r="F48">
            <v>6954</v>
          </cell>
          <cell r="G48">
            <v>0.16500000000000001</v>
          </cell>
          <cell r="H48">
            <v>6952</v>
          </cell>
          <cell r="I48">
            <v>0.20899999999999999</v>
          </cell>
          <cell r="J48">
            <v>5334</v>
          </cell>
          <cell r="K48">
            <v>0.629</v>
          </cell>
          <cell r="L48">
            <v>42168</v>
          </cell>
          <cell r="M48">
            <v>54.82</v>
          </cell>
          <cell r="N48">
            <v>2.73</v>
          </cell>
          <cell r="O48">
            <v>18.100000000000001</v>
          </cell>
          <cell r="P48">
            <v>22.7</v>
          </cell>
          <cell r="Q48">
            <v>20.12</v>
          </cell>
        </row>
        <row r="49">
          <cell r="A49">
            <v>48</v>
          </cell>
          <cell r="B49" t="str">
            <v>Orange</v>
          </cell>
          <cell r="C49" t="str">
            <v>high</v>
          </cell>
          <cell r="D49">
            <v>44305</v>
          </cell>
          <cell r="E49">
            <v>223.69</v>
          </cell>
          <cell r="F49">
            <v>295067</v>
          </cell>
          <cell r="G49">
            <v>0.21199999999999999</v>
          </cell>
          <cell r="H49">
            <v>294391</v>
          </cell>
          <cell r="I49">
            <v>0.27100000000000002</v>
          </cell>
          <cell r="J49">
            <v>115897</v>
          </cell>
          <cell r="K49">
            <v>0.67600000000000005</v>
          </cell>
          <cell r="L49">
            <v>1393452</v>
          </cell>
          <cell r="M49">
            <v>1545.08</v>
          </cell>
          <cell r="N49">
            <v>2.81</v>
          </cell>
          <cell r="O49">
            <v>14.5</v>
          </cell>
          <cell r="P49">
            <v>16.100000000000001</v>
          </cell>
          <cell r="Q49">
            <v>12.31</v>
          </cell>
        </row>
        <row r="50">
          <cell r="A50">
            <v>49</v>
          </cell>
          <cell r="B50" t="str">
            <v>Osceola</v>
          </cell>
          <cell r="C50" t="str">
            <v>high</v>
          </cell>
          <cell r="D50">
            <v>44305</v>
          </cell>
          <cell r="E50">
            <v>303.66000000000003</v>
          </cell>
          <cell r="F50">
            <v>71547</v>
          </cell>
          <cell r="G50">
            <v>0.19</v>
          </cell>
          <cell r="H50">
            <v>71475</v>
          </cell>
          <cell r="I50">
            <v>0.251</v>
          </cell>
          <cell r="J50">
            <v>34511</v>
          </cell>
          <cell r="K50">
            <v>0.68</v>
          </cell>
          <cell r="L50">
            <v>375751</v>
          </cell>
          <cell r="M50">
            <v>283.04000000000002</v>
          </cell>
          <cell r="N50">
            <v>3.4</v>
          </cell>
          <cell r="O50">
            <v>15.8</v>
          </cell>
          <cell r="P50">
            <v>16.3</v>
          </cell>
          <cell r="Q50">
            <v>13.52</v>
          </cell>
        </row>
        <row r="51">
          <cell r="A51">
            <v>50</v>
          </cell>
          <cell r="B51" t="str">
            <v>Palm Beach</v>
          </cell>
          <cell r="C51" t="str">
            <v>high</v>
          </cell>
          <cell r="D51">
            <v>44305</v>
          </cell>
          <cell r="E51">
            <v>181.59</v>
          </cell>
          <cell r="F51">
            <v>384787</v>
          </cell>
          <cell r="G51">
            <v>0.25700000000000001</v>
          </cell>
          <cell r="H51">
            <v>384394</v>
          </cell>
          <cell r="I51">
            <v>0.317</v>
          </cell>
          <cell r="J51">
            <v>245184</v>
          </cell>
          <cell r="K51">
            <v>0.67300000000000004</v>
          </cell>
          <cell r="L51">
            <v>1496770</v>
          </cell>
          <cell r="M51">
            <v>761.99</v>
          </cell>
          <cell r="N51">
            <v>2.6</v>
          </cell>
          <cell r="O51">
            <v>13.6</v>
          </cell>
          <cell r="P51">
            <v>12.8</v>
          </cell>
          <cell r="Q51">
            <v>24.36</v>
          </cell>
        </row>
        <row r="52">
          <cell r="A52">
            <v>51</v>
          </cell>
          <cell r="B52" t="str">
            <v>Pasco</v>
          </cell>
          <cell r="C52" t="str">
            <v>high</v>
          </cell>
          <cell r="D52">
            <v>44305</v>
          </cell>
          <cell r="E52">
            <v>198.57</v>
          </cell>
          <cell r="F52">
            <v>120684</v>
          </cell>
          <cell r="G52">
            <v>0.218</v>
          </cell>
          <cell r="H52">
            <v>120618</v>
          </cell>
          <cell r="I52">
            <v>0.27300000000000002</v>
          </cell>
          <cell r="J52">
            <v>74693</v>
          </cell>
          <cell r="K52">
            <v>0.59499999999999997</v>
          </cell>
          <cell r="L52">
            <v>553947</v>
          </cell>
          <cell r="M52">
            <v>741.98</v>
          </cell>
          <cell r="N52">
            <v>2.52</v>
          </cell>
          <cell r="O52">
            <v>11.8</v>
          </cell>
          <cell r="P52">
            <v>13.5</v>
          </cell>
          <cell r="Q52">
            <v>22.65</v>
          </cell>
        </row>
        <row r="53">
          <cell r="A53">
            <v>52</v>
          </cell>
          <cell r="B53" t="str">
            <v>Pinellas</v>
          </cell>
          <cell r="C53" t="str">
            <v>high</v>
          </cell>
          <cell r="D53">
            <v>44305</v>
          </cell>
          <cell r="E53">
            <v>166.77</v>
          </cell>
          <cell r="F53">
            <v>272439</v>
          </cell>
          <cell r="G53">
            <v>0.27900000000000003</v>
          </cell>
          <cell r="H53">
            <v>272266</v>
          </cell>
          <cell r="I53">
            <v>0.33200000000000002</v>
          </cell>
          <cell r="J53">
            <v>159974</v>
          </cell>
          <cell r="K53">
            <v>0.64600000000000002</v>
          </cell>
          <cell r="L53">
            <v>974996</v>
          </cell>
          <cell r="M53">
            <v>3561.28</v>
          </cell>
          <cell r="N53">
            <v>2.31</v>
          </cell>
          <cell r="O53">
            <v>11.5</v>
          </cell>
          <cell r="P53">
            <v>13</v>
          </cell>
          <cell r="Q53">
            <v>25.4</v>
          </cell>
        </row>
        <row r="54">
          <cell r="A54">
            <v>53</v>
          </cell>
          <cell r="B54" t="str">
            <v>Polk</v>
          </cell>
          <cell r="C54" t="str">
            <v>high</v>
          </cell>
          <cell r="D54">
            <v>44305</v>
          </cell>
          <cell r="E54">
            <v>229.31</v>
          </cell>
          <cell r="F54">
            <v>136143</v>
          </cell>
          <cell r="G54">
            <v>0.188</v>
          </cell>
          <cell r="H54">
            <v>136057</v>
          </cell>
          <cell r="I54">
            <v>0.24099999999999999</v>
          </cell>
          <cell r="J54">
            <v>85163</v>
          </cell>
          <cell r="K54">
            <v>0.57499999999999996</v>
          </cell>
          <cell r="L54">
            <v>724777</v>
          </cell>
          <cell r="M54">
            <v>403.21</v>
          </cell>
          <cell r="N54">
            <v>2.84</v>
          </cell>
          <cell r="O54">
            <v>13.2</v>
          </cell>
          <cell r="P54">
            <v>16.600000000000001</v>
          </cell>
          <cell r="Q54">
            <v>20.440000000000001</v>
          </cell>
        </row>
        <row r="55">
          <cell r="A55">
            <v>54</v>
          </cell>
          <cell r="B55" t="str">
            <v>Putnam</v>
          </cell>
          <cell r="C55" t="str">
            <v>high</v>
          </cell>
          <cell r="D55">
            <v>44305</v>
          </cell>
          <cell r="E55">
            <v>157</v>
          </cell>
          <cell r="F55">
            <v>11570</v>
          </cell>
          <cell r="G55">
            <v>0.155</v>
          </cell>
          <cell r="H55">
            <v>11568</v>
          </cell>
          <cell r="I55">
            <v>0.19700000000000001</v>
          </cell>
          <cell r="J55">
            <v>7993</v>
          </cell>
          <cell r="K55">
            <v>0.45200000000000001</v>
          </cell>
          <cell r="L55">
            <v>74521</v>
          </cell>
          <cell r="M55">
            <v>102.38</v>
          </cell>
          <cell r="N55">
            <v>2.52</v>
          </cell>
          <cell r="O55">
            <v>16</v>
          </cell>
          <cell r="P55">
            <v>24.8</v>
          </cell>
          <cell r="Q55">
            <v>23.72</v>
          </cell>
        </row>
        <row r="56">
          <cell r="A56">
            <v>55</v>
          </cell>
          <cell r="B56" t="str">
            <v>Santa Rosa</v>
          </cell>
          <cell r="C56" t="str">
            <v>moderate</v>
          </cell>
          <cell r="D56">
            <v>44305</v>
          </cell>
          <cell r="E56">
            <v>41.78</v>
          </cell>
          <cell r="F56">
            <v>35276</v>
          </cell>
          <cell r="G56">
            <v>0.191</v>
          </cell>
          <cell r="H56">
            <v>35240</v>
          </cell>
          <cell r="I56">
            <v>0.245</v>
          </cell>
          <cell r="J56">
            <v>19920</v>
          </cell>
          <cell r="K56">
            <v>0.66100000000000003</v>
          </cell>
          <cell r="L56">
            <v>184313</v>
          </cell>
          <cell r="M56">
            <v>182.06</v>
          </cell>
          <cell r="N56">
            <v>2.68</v>
          </cell>
          <cell r="O56">
            <v>10</v>
          </cell>
          <cell r="P56">
            <v>9.8000000000000007</v>
          </cell>
          <cell r="Q56">
            <v>16.34</v>
          </cell>
        </row>
        <row r="57">
          <cell r="A57">
            <v>56</v>
          </cell>
          <cell r="B57" t="str">
            <v>Sarasota</v>
          </cell>
          <cell r="C57" t="str">
            <v>high</v>
          </cell>
          <cell r="D57">
            <v>44305</v>
          </cell>
          <cell r="E57">
            <v>168.53</v>
          </cell>
          <cell r="F57">
            <v>143701</v>
          </cell>
          <cell r="G57">
            <v>0.33100000000000002</v>
          </cell>
          <cell r="H57">
            <v>143634</v>
          </cell>
          <cell r="I57">
            <v>0.38500000000000001</v>
          </cell>
          <cell r="J57">
            <v>111240</v>
          </cell>
          <cell r="K57">
            <v>0.68700000000000006</v>
          </cell>
          <cell r="L57">
            <v>433742</v>
          </cell>
          <cell r="M57">
            <v>780.13</v>
          </cell>
          <cell r="N57">
            <v>2.25</v>
          </cell>
          <cell r="O57">
            <v>11.4</v>
          </cell>
          <cell r="P57">
            <v>9.6999999999999993</v>
          </cell>
          <cell r="Q57">
            <v>37.340000000000003</v>
          </cell>
        </row>
        <row r="58">
          <cell r="A58">
            <v>57</v>
          </cell>
          <cell r="B58" t="str">
            <v>Seminole</v>
          </cell>
          <cell r="C58" t="str">
            <v>high</v>
          </cell>
          <cell r="D58">
            <v>44305</v>
          </cell>
          <cell r="E58">
            <v>193.08</v>
          </cell>
          <cell r="F58">
            <v>97403</v>
          </cell>
          <cell r="G58">
            <v>0.20599999999999999</v>
          </cell>
          <cell r="H58">
            <v>97243</v>
          </cell>
          <cell r="I58">
            <v>0.26</v>
          </cell>
          <cell r="J58">
            <v>47551</v>
          </cell>
          <cell r="K58">
            <v>0.63100000000000001</v>
          </cell>
          <cell r="L58">
            <v>471826</v>
          </cell>
          <cell r="M58">
            <v>1525.34</v>
          </cell>
          <cell r="N58">
            <v>2.7</v>
          </cell>
          <cell r="O58">
            <v>10.4</v>
          </cell>
          <cell r="P58">
            <v>11.4</v>
          </cell>
          <cell r="Q58">
            <v>15.98</v>
          </cell>
        </row>
        <row r="59">
          <cell r="A59">
            <v>58</v>
          </cell>
          <cell r="B59" t="str">
            <v>St. Johns</v>
          </cell>
          <cell r="C59" t="str">
            <v>high</v>
          </cell>
          <cell r="D59">
            <v>44305</v>
          </cell>
          <cell r="E59">
            <v>106.92</v>
          </cell>
          <cell r="F59">
            <v>84054</v>
          </cell>
          <cell r="G59">
            <v>0.318</v>
          </cell>
          <cell r="H59">
            <v>83910</v>
          </cell>
          <cell r="I59">
            <v>0.40400000000000003</v>
          </cell>
          <cell r="J59">
            <v>45488</v>
          </cell>
          <cell r="K59">
            <v>0.83199999999999996</v>
          </cell>
          <cell r="L59">
            <v>264672</v>
          </cell>
          <cell r="M59">
            <v>440.71</v>
          </cell>
          <cell r="N59">
            <v>2.7</v>
          </cell>
          <cell r="O59">
            <v>8.4</v>
          </cell>
          <cell r="P59">
            <v>8.4</v>
          </cell>
          <cell r="Q59">
            <v>20.65</v>
          </cell>
        </row>
        <row r="60">
          <cell r="A60">
            <v>59</v>
          </cell>
          <cell r="B60" t="str">
            <v>St. Lucie</v>
          </cell>
          <cell r="C60" t="str">
            <v>high</v>
          </cell>
          <cell r="D60">
            <v>44305</v>
          </cell>
          <cell r="E60">
            <v>156.57</v>
          </cell>
          <cell r="F60">
            <v>69358</v>
          </cell>
          <cell r="G60">
            <v>0.21099999999999999</v>
          </cell>
          <cell r="H60">
            <v>69338</v>
          </cell>
          <cell r="I60">
            <v>0.26200000000000001</v>
          </cell>
          <cell r="J60">
            <v>48113</v>
          </cell>
          <cell r="K60">
            <v>0.59499999999999997</v>
          </cell>
          <cell r="L60">
            <v>328297</v>
          </cell>
          <cell r="M60">
            <v>574.29999999999995</v>
          </cell>
          <cell r="N60">
            <v>2.68</v>
          </cell>
          <cell r="O60">
            <v>14</v>
          </cell>
          <cell r="P60">
            <v>15</v>
          </cell>
          <cell r="Q60">
            <v>24.65</v>
          </cell>
        </row>
        <row r="61">
          <cell r="A61">
            <v>60</v>
          </cell>
          <cell r="B61" t="str">
            <v>Sumter</v>
          </cell>
          <cell r="C61" t="str">
            <v>substantial</v>
          </cell>
          <cell r="D61">
            <v>44305</v>
          </cell>
          <cell r="E61">
            <v>85.33</v>
          </cell>
          <cell r="F61">
            <v>70692</v>
          </cell>
          <cell r="G61">
            <v>0.53400000000000003</v>
          </cell>
          <cell r="H61">
            <v>70682</v>
          </cell>
          <cell r="I61">
            <v>0.57499999999999996</v>
          </cell>
          <cell r="J61">
            <v>61613</v>
          </cell>
          <cell r="K61">
            <v>0.8</v>
          </cell>
          <cell r="L61">
            <v>132420</v>
          </cell>
          <cell r="M61">
            <v>237.68</v>
          </cell>
          <cell r="N61">
            <v>2.04</v>
          </cell>
          <cell r="O61">
            <v>6.2</v>
          </cell>
          <cell r="P61">
            <v>8.8000000000000007</v>
          </cell>
          <cell r="Q61">
            <v>58.17</v>
          </cell>
        </row>
        <row r="62">
          <cell r="A62">
            <v>61</v>
          </cell>
          <cell r="B62" t="str">
            <v>Suwannee</v>
          </cell>
          <cell r="C62" t="str">
            <v>substantial</v>
          </cell>
          <cell r="D62">
            <v>44305</v>
          </cell>
          <cell r="E62">
            <v>78.8</v>
          </cell>
          <cell r="F62">
            <v>7321</v>
          </cell>
          <cell r="G62">
            <v>0.16500000000000001</v>
          </cell>
          <cell r="H62">
            <v>7319</v>
          </cell>
          <cell r="I62">
            <v>0.20899999999999999</v>
          </cell>
          <cell r="J62">
            <v>5197</v>
          </cell>
          <cell r="K62">
            <v>0.53900000000000003</v>
          </cell>
          <cell r="L62">
            <v>44417</v>
          </cell>
          <cell r="M62">
            <v>64.510000000000005</v>
          </cell>
          <cell r="N62">
            <v>2.81</v>
          </cell>
          <cell r="O62">
            <v>13.9</v>
          </cell>
          <cell r="P62">
            <v>17.8</v>
          </cell>
          <cell r="Q62">
            <v>21.73</v>
          </cell>
        </row>
        <row r="63">
          <cell r="A63">
            <v>62</v>
          </cell>
          <cell r="B63" t="str">
            <v>Taylor</v>
          </cell>
          <cell r="C63" t="str">
            <v>moderate</v>
          </cell>
          <cell r="D63">
            <v>44305</v>
          </cell>
          <cell r="E63" t="str">
            <v>suppressed</v>
          </cell>
          <cell r="F63">
            <v>3323</v>
          </cell>
          <cell r="G63">
            <v>0.154</v>
          </cell>
          <cell r="H63">
            <v>3322</v>
          </cell>
          <cell r="I63">
            <v>0.192</v>
          </cell>
          <cell r="J63">
            <v>2289</v>
          </cell>
          <cell r="K63">
            <v>0.50600000000000001</v>
          </cell>
          <cell r="L63">
            <v>21569</v>
          </cell>
          <cell r="M63">
            <v>20.67</v>
          </cell>
          <cell r="N63">
            <v>2.4700000000000002</v>
          </cell>
          <cell r="O63">
            <v>10.9</v>
          </cell>
          <cell r="P63">
            <v>19.8</v>
          </cell>
          <cell r="Q63">
            <v>20.98</v>
          </cell>
        </row>
        <row r="64">
          <cell r="A64">
            <v>63</v>
          </cell>
          <cell r="B64" t="str">
            <v>Union</v>
          </cell>
          <cell r="C64" t="str">
            <v>substantial</v>
          </cell>
          <cell r="D64">
            <v>44305</v>
          </cell>
          <cell r="E64">
            <v>85.32</v>
          </cell>
          <cell r="F64">
            <v>1685</v>
          </cell>
          <cell r="G64">
            <v>0.111</v>
          </cell>
          <cell r="H64">
            <v>1685</v>
          </cell>
          <cell r="I64">
            <v>0.13800000000000001</v>
          </cell>
          <cell r="J64">
            <v>1109</v>
          </cell>
          <cell r="K64">
            <v>0.47899999999999998</v>
          </cell>
          <cell r="L64">
            <v>15237</v>
          </cell>
          <cell r="M64">
            <v>62.56</v>
          </cell>
          <cell r="N64">
            <v>2.5</v>
          </cell>
          <cell r="O64">
            <v>12.4</v>
          </cell>
          <cell r="P64">
            <v>22</v>
          </cell>
          <cell r="Q64">
            <v>15.21</v>
          </cell>
        </row>
        <row r="65">
          <cell r="A65">
            <v>64</v>
          </cell>
          <cell r="B65" t="str">
            <v>Volusia</v>
          </cell>
          <cell r="C65" t="str">
            <v>high</v>
          </cell>
          <cell r="D65">
            <v>44305</v>
          </cell>
          <cell r="E65">
            <v>214.54</v>
          </cell>
          <cell r="F65">
            <v>131981</v>
          </cell>
          <cell r="G65">
            <v>0.23899999999999999</v>
          </cell>
          <cell r="H65">
            <v>131935</v>
          </cell>
          <cell r="I65">
            <v>0.28899999999999998</v>
          </cell>
          <cell r="J65">
            <v>89166</v>
          </cell>
          <cell r="K65">
            <v>0.64700000000000002</v>
          </cell>
          <cell r="L65">
            <v>553284</v>
          </cell>
          <cell r="M65">
            <v>502.42</v>
          </cell>
          <cell r="N65">
            <v>2.4300000000000002</v>
          </cell>
          <cell r="O65">
            <v>12.5</v>
          </cell>
          <cell r="P65">
            <v>15.2</v>
          </cell>
          <cell r="Q65">
            <v>24.91</v>
          </cell>
        </row>
        <row r="66">
          <cell r="A66">
            <v>65</v>
          </cell>
          <cell r="B66" t="str">
            <v>Wakulla</v>
          </cell>
          <cell r="C66" t="str">
            <v>high</v>
          </cell>
          <cell r="D66">
            <v>44305</v>
          </cell>
          <cell r="E66">
            <v>148.19999999999999</v>
          </cell>
          <cell r="F66">
            <v>6474</v>
          </cell>
          <cell r="G66">
            <v>0.192</v>
          </cell>
          <cell r="H66">
            <v>6469</v>
          </cell>
          <cell r="I66">
            <v>0.24199999999999999</v>
          </cell>
          <cell r="J66">
            <v>3878</v>
          </cell>
          <cell r="K66">
            <v>0.72299999999999998</v>
          </cell>
          <cell r="L66">
            <v>33739</v>
          </cell>
          <cell r="M66">
            <v>55.64</v>
          </cell>
          <cell r="N66">
            <v>2.56</v>
          </cell>
          <cell r="O66">
            <v>9</v>
          </cell>
          <cell r="P66">
            <v>11.5</v>
          </cell>
          <cell r="Q66">
            <v>15.9</v>
          </cell>
        </row>
        <row r="67">
          <cell r="A67">
            <v>66</v>
          </cell>
          <cell r="B67" t="str">
            <v>Walton</v>
          </cell>
          <cell r="C67" t="str">
            <v>high</v>
          </cell>
          <cell r="D67">
            <v>44305</v>
          </cell>
          <cell r="E67">
            <v>137.71</v>
          </cell>
          <cell r="F67">
            <v>14264</v>
          </cell>
          <cell r="G67">
            <v>0.193</v>
          </cell>
          <cell r="H67">
            <v>14260</v>
          </cell>
          <cell r="I67">
            <v>0.24199999999999999</v>
          </cell>
          <cell r="J67">
            <v>8950</v>
          </cell>
          <cell r="K67">
            <v>0.59799999999999998</v>
          </cell>
          <cell r="L67">
            <v>74071</v>
          </cell>
          <cell r="M67">
            <v>71.38</v>
          </cell>
          <cell r="N67">
            <v>2.42</v>
          </cell>
          <cell r="O67">
            <v>13.5</v>
          </cell>
          <cell r="P67">
            <v>14.7</v>
          </cell>
          <cell r="Q67">
            <v>20.22</v>
          </cell>
        </row>
        <row r="68">
          <cell r="A68">
            <v>67</v>
          </cell>
          <cell r="B68" t="str">
            <v>Washington</v>
          </cell>
          <cell r="C68" t="str">
            <v>moderate</v>
          </cell>
          <cell r="D68">
            <v>44305</v>
          </cell>
          <cell r="E68" t="str">
            <v>suppressed</v>
          </cell>
          <cell r="F68">
            <v>3150</v>
          </cell>
          <cell r="G68">
            <v>0.124</v>
          </cell>
          <cell r="H68">
            <v>3147</v>
          </cell>
          <cell r="I68">
            <v>0.154</v>
          </cell>
          <cell r="J68">
            <v>2007</v>
          </cell>
          <cell r="K68">
            <v>0.45800000000000002</v>
          </cell>
          <cell r="L68">
            <v>25473</v>
          </cell>
          <cell r="M68">
            <v>43.57</v>
          </cell>
          <cell r="N68">
            <v>2.57</v>
          </cell>
          <cell r="O68">
            <v>12.8</v>
          </cell>
          <cell r="P68">
            <v>22.4</v>
          </cell>
          <cell r="Q68">
            <v>17.2</v>
          </cell>
        </row>
      </sheetData>
      <sheetData sheetId="11">
        <row r="1">
          <cell r="B1" t="str">
            <v>County</v>
          </cell>
          <cell r="C1" t="str">
            <v>Level_Of_Transmission</v>
          </cell>
          <cell r="D1" t="str">
            <v>Date_Updated</v>
          </cell>
          <cell r="E1" t="str">
            <v>Infection_Rate</v>
          </cell>
          <cell r="F1" t="str">
            <v>Vaccinated</v>
          </cell>
          <cell r="G1" t="str">
            <v>Vaccinated_Percent</v>
          </cell>
          <cell r="H1" t="str">
            <v>Over_18_Vacc</v>
          </cell>
          <cell r="I1" t="str">
            <v>Over_18_Vacc_Percent</v>
          </cell>
          <cell r="J1" t="str">
            <v>Over_65_Vacc</v>
          </cell>
          <cell r="K1" t="str">
            <v>Over_65_Vacc_Percent</v>
          </cell>
          <cell r="L1" t="str">
            <v>Total_Population</v>
          </cell>
          <cell r="M1" t="str">
            <v>Population_Density</v>
          </cell>
          <cell r="N1" t="str">
            <v>Avg_HH_Size</v>
          </cell>
          <cell r="O1" t="str">
            <v>Percent_Uninsured</v>
          </cell>
          <cell r="P1" t="str">
            <v>Poverty Rate</v>
          </cell>
          <cell r="Q1" t="str">
            <v>Over_65</v>
          </cell>
        </row>
        <row r="2">
          <cell r="A2">
            <v>1</v>
          </cell>
          <cell r="B2" t="str">
            <v>Alachua</v>
          </cell>
          <cell r="C2" t="str">
            <v>high</v>
          </cell>
          <cell r="D2">
            <v>44306</v>
          </cell>
          <cell r="E2">
            <v>101.1</v>
          </cell>
          <cell r="F2">
            <v>73536</v>
          </cell>
          <cell r="G2">
            <v>0.27300000000000002</v>
          </cell>
          <cell r="H2">
            <v>73466</v>
          </cell>
          <cell r="I2">
            <v>0.33300000000000002</v>
          </cell>
          <cell r="J2">
            <v>31041</v>
          </cell>
          <cell r="K2">
            <v>0.79</v>
          </cell>
          <cell r="L2">
            <v>269043</v>
          </cell>
          <cell r="M2">
            <v>307.29000000000002</v>
          </cell>
          <cell r="N2">
            <v>2.54</v>
          </cell>
          <cell r="O2">
            <v>9.1999999999999993</v>
          </cell>
          <cell r="P2">
            <v>21.8</v>
          </cell>
          <cell r="Q2">
            <v>14.6</v>
          </cell>
        </row>
        <row r="3">
          <cell r="A3">
            <v>2</v>
          </cell>
          <cell r="B3" t="str">
            <v>Baker</v>
          </cell>
          <cell r="C3" t="str">
            <v>high</v>
          </cell>
          <cell r="D3">
            <v>44306</v>
          </cell>
          <cell r="E3">
            <v>106.13</v>
          </cell>
          <cell r="F3">
            <v>3515</v>
          </cell>
          <cell r="G3">
            <v>0.12</v>
          </cell>
          <cell r="H3">
            <v>3515</v>
          </cell>
          <cell r="I3">
            <v>0.158</v>
          </cell>
          <cell r="J3">
            <v>2193</v>
          </cell>
          <cell r="K3">
            <v>0.53300000000000003</v>
          </cell>
          <cell r="L3">
            <v>29210</v>
          </cell>
          <cell r="M3">
            <v>49.91</v>
          </cell>
          <cell r="N3">
            <v>2.92</v>
          </cell>
          <cell r="O3">
            <v>12.5</v>
          </cell>
          <cell r="P3">
            <v>14.6</v>
          </cell>
          <cell r="Q3">
            <v>14.09</v>
          </cell>
        </row>
        <row r="4">
          <cell r="A4">
            <v>3</v>
          </cell>
          <cell r="B4" t="str">
            <v>Bay</v>
          </cell>
          <cell r="C4" t="str">
            <v>substantial</v>
          </cell>
          <cell r="D4">
            <v>44306</v>
          </cell>
          <cell r="E4">
            <v>92.16</v>
          </cell>
          <cell r="F4">
            <v>36600</v>
          </cell>
          <cell r="G4">
            <v>0.20899999999999999</v>
          </cell>
          <cell r="H4">
            <v>36578</v>
          </cell>
          <cell r="I4">
            <v>0.26400000000000001</v>
          </cell>
          <cell r="J4">
            <v>19086</v>
          </cell>
          <cell r="K4">
            <v>0.58699999999999997</v>
          </cell>
          <cell r="L4">
            <v>174705</v>
          </cell>
          <cell r="M4">
            <v>230.3</v>
          </cell>
          <cell r="N4">
            <v>2.57</v>
          </cell>
          <cell r="O4">
            <v>14.2</v>
          </cell>
          <cell r="P4">
            <v>14.7</v>
          </cell>
          <cell r="Q4">
            <v>18.62</v>
          </cell>
        </row>
        <row r="5">
          <cell r="A5">
            <v>4</v>
          </cell>
          <cell r="B5" t="str">
            <v>Bradford</v>
          </cell>
          <cell r="C5" t="str">
            <v>substantial</v>
          </cell>
          <cell r="D5">
            <v>44306</v>
          </cell>
          <cell r="E5">
            <v>67.37</v>
          </cell>
          <cell r="F5">
            <v>3903</v>
          </cell>
          <cell r="G5">
            <v>0.13800000000000001</v>
          </cell>
          <cell r="H5">
            <v>3903</v>
          </cell>
          <cell r="I5">
            <v>0.17199999999999999</v>
          </cell>
          <cell r="J5">
            <v>2541</v>
          </cell>
          <cell r="K5">
            <v>0.502</v>
          </cell>
          <cell r="L5">
            <v>28201</v>
          </cell>
          <cell r="M5">
            <v>95.93</v>
          </cell>
          <cell r="N5">
            <v>2.6</v>
          </cell>
          <cell r="O5">
            <v>12.4</v>
          </cell>
          <cell r="P5">
            <v>20.3</v>
          </cell>
          <cell r="Q5">
            <v>17.96</v>
          </cell>
        </row>
        <row r="6">
          <cell r="A6">
            <v>5</v>
          </cell>
          <cell r="B6" t="str">
            <v>Brevard</v>
          </cell>
          <cell r="C6" t="str">
            <v>high</v>
          </cell>
          <cell r="D6">
            <v>44306</v>
          </cell>
          <cell r="E6">
            <v>145.69999999999999</v>
          </cell>
          <cell r="F6">
            <v>145978</v>
          </cell>
          <cell r="G6">
            <v>0.24299999999999999</v>
          </cell>
          <cell r="H6">
            <v>145898</v>
          </cell>
          <cell r="I6">
            <v>0.29599999999999999</v>
          </cell>
          <cell r="J6">
            <v>90943</v>
          </cell>
          <cell r="K6">
            <v>0.624</v>
          </cell>
          <cell r="L6">
            <v>601942</v>
          </cell>
          <cell r="M6">
            <v>593.05999999999995</v>
          </cell>
          <cell r="N6">
            <v>2.4900000000000002</v>
          </cell>
          <cell r="O6">
            <v>10.8</v>
          </cell>
          <cell r="P6">
            <v>12.7</v>
          </cell>
          <cell r="Q6">
            <v>24.21</v>
          </cell>
        </row>
        <row r="7">
          <cell r="A7">
            <v>6</v>
          </cell>
          <cell r="B7" t="str">
            <v>Broward</v>
          </cell>
          <cell r="C7" t="str">
            <v>high</v>
          </cell>
          <cell r="D7">
            <v>44306</v>
          </cell>
          <cell r="E7">
            <v>273.97000000000003</v>
          </cell>
          <cell r="F7">
            <v>463486</v>
          </cell>
          <cell r="G7">
            <v>0.23699999999999999</v>
          </cell>
          <cell r="H7">
            <v>462565</v>
          </cell>
          <cell r="I7">
            <v>0.3</v>
          </cell>
          <cell r="J7">
            <v>218360</v>
          </cell>
          <cell r="K7">
            <v>0.65300000000000002</v>
          </cell>
          <cell r="L7">
            <v>1952778</v>
          </cell>
          <cell r="M7">
            <v>1623.5</v>
          </cell>
          <cell r="N7">
            <v>2.77</v>
          </cell>
          <cell r="O7">
            <v>14.6</v>
          </cell>
          <cell r="P7">
            <v>13.5</v>
          </cell>
          <cell r="Q7">
            <v>17.13</v>
          </cell>
        </row>
        <row r="8">
          <cell r="A8">
            <v>7</v>
          </cell>
          <cell r="B8" t="str">
            <v>Calhoun</v>
          </cell>
          <cell r="C8" t="str">
            <v>moderate</v>
          </cell>
          <cell r="D8">
            <v>44306</v>
          </cell>
          <cell r="E8" t="str">
            <v>suppressed</v>
          </cell>
          <cell r="F8">
            <v>2100</v>
          </cell>
          <cell r="G8">
            <v>0.14899999999999999</v>
          </cell>
          <cell r="H8">
            <v>2100</v>
          </cell>
          <cell r="I8">
            <v>0.186</v>
          </cell>
          <cell r="J8">
            <v>1396</v>
          </cell>
          <cell r="K8">
            <v>0.52300000000000002</v>
          </cell>
          <cell r="L8">
            <v>14105</v>
          </cell>
          <cell r="M8">
            <v>24.86</v>
          </cell>
          <cell r="N8">
            <v>2.73</v>
          </cell>
          <cell r="O8">
            <v>18.3</v>
          </cell>
          <cell r="P8">
            <v>12.2</v>
          </cell>
          <cell r="Q8">
            <v>18.93</v>
          </cell>
        </row>
        <row r="9">
          <cell r="A9">
            <v>8</v>
          </cell>
          <cell r="B9" t="str">
            <v>Charlotte</v>
          </cell>
          <cell r="C9" t="str">
            <v>high</v>
          </cell>
          <cell r="D9">
            <v>44306</v>
          </cell>
          <cell r="E9">
            <v>135.51</v>
          </cell>
          <cell r="F9">
            <v>63994</v>
          </cell>
          <cell r="G9">
            <v>0.33900000000000002</v>
          </cell>
          <cell r="H9">
            <v>63968</v>
          </cell>
          <cell r="I9">
            <v>0.38400000000000001</v>
          </cell>
          <cell r="J9">
            <v>50934</v>
          </cell>
          <cell r="K9">
            <v>0.66100000000000003</v>
          </cell>
          <cell r="L9">
            <v>188910</v>
          </cell>
          <cell r="M9">
            <v>277.36</v>
          </cell>
          <cell r="N9">
            <v>2.2799999999999998</v>
          </cell>
          <cell r="O9">
            <v>11.3</v>
          </cell>
          <cell r="P9">
            <v>11.1</v>
          </cell>
          <cell r="Q9">
            <v>40.799999999999997</v>
          </cell>
        </row>
        <row r="10">
          <cell r="A10">
            <v>9</v>
          </cell>
          <cell r="B10" t="str">
            <v>Citrus</v>
          </cell>
          <cell r="C10" t="str">
            <v>high</v>
          </cell>
          <cell r="D10">
            <v>44306</v>
          </cell>
          <cell r="E10">
            <v>104.91</v>
          </cell>
          <cell r="F10">
            <v>40863</v>
          </cell>
          <cell r="G10">
            <v>0.27300000000000002</v>
          </cell>
          <cell r="H10">
            <v>40856</v>
          </cell>
          <cell r="I10">
            <v>0.32</v>
          </cell>
          <cell r="J10">
            <v>32970</v>
          </cell>
          <cell r="K10">
            <v>0.6</v>
          </cell>
          <cell r="L10">
            <v>149657</v>
          </cell>
          <cell r="M10">
            <v>257.18</v>
          </cell>
          <cell r="N10">
            <v>2.2400000000000002</v>
          </cell>
          <cell r="O10">
            <v>10.4</v>
          </cell>
          <cell r="P10">
            <v>16.7</v>
          </cell>
          <cell r="Q10">
            <v>36.71</v>
          </cell>
        </row>
        <row r="11">
          <cell r="A11">
            <v>10</v>
          </cell>
          <cell r="B11" t="str">
            <v>Clay</v>
          </cell>
          <cell r="C11" t="str">
            <v>high</v>
          </cell>
          <cell r="D11">
            <v>44306</v>
          </cell>
          <cell r="E11">
            <v>135.46</v>
          </cell>
          <cell r="F11">
            <v>39048</v>
          </cell>
          <cell r="G11">
            <v>0.17799999999999999</v>
          </cell>
          <cell r="H11">
            <v>39012</v>
          </cell>
          <cell r="I11">
            <v>0.23100000000000001</v>
          </cell>
          <cell r="J11">
            <v>20570</v>
          </cell>
          <cell r="K11">
            <v>0.57399999999999995</v>
          </cell>
          <cell r="L11">
            <v>219252</v>
          </cell>
          <cell r="M11">
            <v>362.63</v>
          </cell>
          <cell r="N11">
            <v>2.81</v>
          </cell>
          <cell r="O11">
            <v>10.4</v>
          </cell>
          <cell r="P11">
            <v>10.6</v>
          </cell>
          <cell r="Q11">
            <v>16.350000000000001</v>
          </cell>
        </row>
        <row r="12">
          <cell r="A12">
            <v>11</v>
          </cell>
          <cell r="B12" t="str">
            <v>Collier</v>
          </cell>
          <cell r="C12" t="str">
            <v>high</v>
          </cell>
          <cell r="D12">
            <v>44306</v>
          </cell>
          <cell r="E12">
            <v>175.89</v>
          </cell>
          <cell r="F12">
            <v>119492</v>
          </cell>
          <cell r="G12">
            <v>0.31</v>
          </cell>
          <cell r="H12">
            <v>119457</v>
          </cell>
          <cell r="I12">
            <v>0.373</v>
          </cell>
          <cell r="J12">
            <v>91017</v>
          </cell>
          <cell r="K12">
            <v>0.71799999999999997</v>
          </cell>
          <cell r="L12">
            <v>384902</v>
          </cell>
          <cell r="M12">
            <v>192.75</v>
          </cell>
          <cell r="N12">
            <v>2.5499999999999998</v>
          </cell>
          <cell r="O12">
            <v>16.5</v>
          </cell>
          <cell r="P12">
            <v>12.3</v>
          </cell>
          <cell r="Q12">
            <v>32.92</v>
          </cell>
        </row>
        <row r="13">
          <cell r="A13">
            <v>12</v>
          </cell>
          <cell r="B13" t="str">
            <v>Columbia</v>
          </cell>
          <cell r="C13" t="str">
            <v>substantial</v>
          </cell>
          <cell r="D13">
            <v>44306</v>
          </cell>
          <cell r="E13">
            <v>78.12</v>
          </cell>
          <cell r="F13">
            <v>12359</v>
          </cell>
          <cell r="G13">
            <v>0.17199999999999999</v>
          </cell>
          <cell r="H13">
            <v>12356</v>
          </cell>
          <cell r="I13">
            <v>0.22</v>
          </cell>
          <cell r="J13">
            <v>7705</v>
          </cell>
          <cell r="K13">
            <v>0.55800000000000005</v>
          </cell>
          <cell r="L13">
            <v>71686</v>
          </cell>
          <cell r="M13">
            <v>89.88</v>
          </cell>
          <cell r="N13">
            <v>2.57</v>
          </cell>
          <cell r="O13">
            <v>12.4</v>
          </cell>
          <cell r="P13">
            <v>17.399999999999999</v>
          </cell>
          <cell r="Q13">
            <v>19.260000000000002</v>
          </cell>
        </row>
        <row r="14">
          <cell r="A14">
            <v>13</v>
          </cell>
          <cell r="B14" t="str">
            <v>DeSoto</v>
          </cell>
          <cell r="C14" t="str">
            <v>high</v>
          </cell>
          <cell r="D14">
            <v>44306</v>
          </cell>
          <cell r="E14">
            <v>147.36000000000001</v>
          </cell>
          <cell r="F14">
            <v>6130</v>
          </cell>
          <cell r="G14">
            <v>0.161</v>
          </cell>
          <cell r="H14">
            <v>6130</v>
          </cell>
          <cell r="I14">
            <v>0.19900000000000001</v>
          </cell>
          <cell r="J14">
            <v>4551</v>
          </cell>
          <cell r="K14">
            <v>0.53200000000000003</v>
          </cell>
          <cell r="L14">
            <v>38001</v>
          </cell>
          <cell r="M14">
            <v>59.68</v>
          </cell>
          <cell r="N14">
            <v>2.74</v>
          </cell>
          <cell r="O14">
            <v>18.399999999999999</v>
          </cell>
          <cell r="P14">
            <v>28.5</v>
          </cell>
          <cell r="Q14">
            <v>22.52</v>
          </cell>
        </row>
        <row r="15">
          <cell r="A15">
            <v>14</v>
          </cell>
          <cell r="B15" t="str">
            <v>Dixie</v>
          </cell>
          <cell r="C15" t="str">
            <v>substantial</v>
          </cell>
          <cell r="D15">
            <v>44306</v>
          </cell>
          <cell r="E15">
            <v>65.38</v>
          </cell>
          <cell r="F15">
            <v>2499</v>
          </cell>
          <cell r="G15">
            <v>0.14899999999999999</v>
          </cell>
          <cell r="H15">
            <v>2499</v>
          </cell>
          <cell r="I15">
            <v>0.182</v>
          </cell>
          <cell r="J15">
            <v>1877</v>
          </cell>
          <cell r="K15">
            <v>0.47099999999999997</v>
          </cell>
          <cell r="L15">
            <v>16826</v>
          </cell>
          <cell r="M15">
            <v>23.86</v>
          </cell>
          <cell r="N15">
            <v>2.2799999999999998</v>
          </cell>
          <cell r="O15">
            <v>17.2</v>
          </cell>
          <cell r="P15">
            <v>23.1</v>
          </cell>
          <cell r="Q15">
            <v>23.68</v>
          </cell>
        </row>
        <row r="16">
          <cell r="A16">
            <v>15</v>
          </cell>
          <cell r="B16" t="str">
            <v>Duval</v>
          </cell>
          <cell r="C16" t="str">
            <v>high</v>
          </cell>
          <cell r="D16">
            <v>44306</v>
          </cell>
          <cell r="E16">
            <v>123.83</v>
          </cell>
          <cell r="F16">
            <v>226635</v>
          </cell>
          <cell r="G16">
            <v>0.23699999999999999</v>
          </cell>
          <cell r="H16">
            <v>226392</v>
          </cell>
          <cell r="I16">
            <v>0.30499999999999999</v>
          </cell>
          <cell r="J16">
            <v>97160</v>
          </cell>
          <cell r="K16">
            <v>0.70099999999999996</v>
          </cell>
          <cell r="L16">
            <v>957755</v>
          </cell>
          <cell r="M16">
            <v>1255.8599999999999</v>
          </cell>
          <cell r="N16">
            <v>2.5499999999999998</v>
          </cell>
          <cell r="O16">
            <v>12</v>
          </cell>
          <cell r="P16">
            <v>15.5</v>
          </cell>
          <cell r="Q16">
            <v>14.47</v>
          </cell>
        </row>
        <row r="17">
          <cell r="A17">
            <v>16</v>
          </cell>
          <cell r="B17" t="str">
            <v>Escambia</v>
          </cell>
          <cell r="C17" t="str">
            <v>substantial</v>
          </cell>
          <cell r="D17">
            <v>44306</v>
          </cell>
          <cell r="E17">
            <v>84.19</v>
          </cell>
          <cell r="F17">
            <v>69248</v>
          </cell>
          <cell r="G17">
            <v>0.218</v>
          </cell>
          <cell r="H17">
            <v>69212</v>
          </cell>
          <cell r="I17">
            <v>0.27500000000000002</v>
          </cell>
          <cell r="J17">
            <v>35539</v>
          </cell>
          <cell r="K17">
            <v>0.65100000000000002</v>
          </cell>
          <cell r="L17">
            <v>318316</v>
          </cell>
          <cell r="M17">
            <v>484.52</v>
          </cell>
          <cell r="N17">
            <v>2.4700000000000002</v>
          </cell>
          <cell r="O17">
            <v>10.199999999999999</v>
          </cell>
          <cell r="P17">
            <v>13.9</v>
          </cell>
          <cell r="Q17">
            <v>17.14</v>
          </cell>
        </row>
        <row r="18">
          <cell r="A18">
            <v>17</v>
          </cell>
          <cell r="B18" t="str">
            <v>Flagler</v>
          </cell>
          <cell r="C18" t="str">
            <v>high</v>
          </cell>
          <cell r="D18">
            <v>44306</v>
          </cell>
          <cell r="E18">
            <v>121.65</v>
          </cell>
          <cell r="F18">
            <v>33785</v>
          </cell>
          <cell r="G18">
            <v>0.29399999999999998</v>
          </cell>
          <cell r="H18">
            <v>33775</v>
          </cell>
          <cell r="I18">
            <v>0.35199999999999998</v>
          </cell>
          <cell r="J18">
            <v>24697</v>
          </cell>
          <cell r="K18">
            <v>0.68799999999999994</v>
          </cell>
          <cell r="L18">
            <v>115081</v>
          </cell>
          <cell r="M18">
            <v>237.21</v>
          </cell>
          <cell r="N18">
            <v>2.62</v>
          </cell>
          <cell r="O18">
            <v>12.7</v>
          </cell>
          <cell r="P18">
            <v>11.9</v>
          </cell>
          <cell r="Q18">
            <v>31.19</v>
          </cell>
        </row>
        <row r="19">
          <cell r="A19">
            <v>18</v>
          </cell>
          <cell r="B19" t="str">
            <v>Franklin</v>
          </cell>
          <cell r="C19" t="str">
            <v>high</v>
          </cell>
          <cell r="D19">
            <v>44306</v>
          </cell>
          <cell r="E19" t="str">
            <v>suppressed</v>
          </cell>
          <cell r="F19">
            <v>2928</v>
          </cell>
          <cell r="G19">
            <v>0.24099999999999999</v>
          </cell>
          <cell r="H19">
            <v>2928</v>
          </cell>
          <cell r="I19">
            <v>0.28499999999999998</v>
          </cell>
          <cell r="J19">
            <v>2060</v>
          </cell>
          <cell r="K19">
            <v>0.70399999999999996</v>
          </cell>
          <cell r="L19">
            <v>12125</v>
          </cell>
          <cell r="M19">
            <v>22.24</v>
          </cell>
          <cell r="N19">
            <v>2.35</v>
          </cell>
          <cell r="O19">
            <v>18.3</v>
          </cell>
          <cell r="P19">
            <v>20.7</v>
          </cell>
          <cell r="Q19">
            <v>24.13</v>
          </cell>
        </row>
        <row r="20">
          <cell r="A20">
            <v>19</v>
          </cell>
          <cell r="B20" t="str">
            <v>Gadsden</v>
          </cell>
          <cell r="C20" t="str">
            <v>substantial</v>
          </cell>
          <cell r="D20">
            <v>44306</v>
          </cell>
          <cell r="E20">
            <v>70.08</v>
          </cell>
          <cell r="F20">
            <v>11459</v>
          </cell>
          <cell r="G20">
            <v>0.251</v>
          </cell>
          <cell r="H20">
            <v>11453</v>
          </cell>
          <cell r="I20">
            <v>0.32</v>
          </cell>
          <cell r="J20">
            <v>5954</v>
          </cell>
          <cell r="K20">
            <v>0.69699999999999995</v>
          </cell>
          <cell r="L20">
            <v>45660</v>
          </cell>
          <cell r="M20">
            <v>88.44</v>
          </cell>
          <cell r="N20">
            <v>2.4700000000000002</v>
          </cell>
          <cell r="O20">
            <v>14.9</v>
          </cell>
          <cell r="P20">
            <v>24.6</v>
          </cell>
          <cell r="Q20">
            <v>18.7</v>
          </cell>
        </row>
        <row r="21">
          <cell r="A21">
            <v>20</v>
          </cell>
          <cell r="B21" t="str">
            <v>Gilchrist</v>
          </cell>
          <cell r="C21" t="str">
            <v>high</v>
          </cell>
          <cell r="D21">
            <v>44306</v>
          </cell>
          <cell r="E21">
            <v>145.30000000000001</v>
          </cell>
          <cell r="F21">
            <v>2776</v>
          </cell>
          <cell r="G21">
            <v>0.14899999999999999</v>
          </cell>
          <cell r="H21">
            <v>2774</v>
          </cell>
          <cell r="I21">
            <v>0.186</v>
          </cell>
          <cell r="J21">
            <v>1833</v>
          </cell>
          <cell r="K21">
            <v>0.47799999999999998</v>
          </cell>
          <cell r="L21">
            <v>18582</v>
          </cell>
          <cell r="M21">
            <v>53.14</v>
          </cell>
          <cell r="N21">
            <v>2.5</v>
          </cell>
          <cell r="O21">
            <v>18.100000000000001</v>
          </cell>
          <cell r="P21">
            <v>17.899999999999999</v>
          </cell>
          <cell r="Q21">
            <v>20.65</v>
          </cell>
        </row>
        <row r="22">
          <cell r="A22">
            <v>21</v>
          </cell>
          <cell r="B22" t="str">
            <v>Glades</v>
          </cell>
          <cell r="C22" t="str">
            <v>substantial</v>
          </cell>
          <cell r="D22">
            <v>44306</v>
          </cell>
          <cell r="E22" t="str">
            <v>suppressed</v>
          </cell>
          <cell r="F22">
            <v>1786</v>
          </cell>
          <cell r="G22">
            <v>0.129</v>
          </cell>
          <cell r="H22">
            <v>1786</v>
          </cell>
          <cell r="I22">
            <v>0.151</v>
          </cell>
          <cell r="J22">
            <v>1329</v>
          </cell>
          <cell r="K22">
            <v>0.34899999999999998</v>
          </cell>
          <cell r="L22">
            <v>13811</v>
          </cell>
          <cell r="M22">
            <v>17.12</v>
          </cell>
          <cell r="N22">
            <v>2.71</v>
          </cell>
          <cell r="O22">
            <v>19.899999999999999</v>
          </cell>
          <cell r="P22">
            <v>17</v>
          </cell>
          <cell r="Q22">
            <v>27.57</v>
          </cell>
        </row>
        <row r="23">
          <cell r="A23">
            <v>22</v>
          </cell>
          <cell r="B23" t="str">
            <v>Gulf</v>
          </cell>
          <cell r="C23" t="str">
            <v>moderate</v>
          </cell>
          <cell r="D23">
            <v>44306</v>
          </cell>
          <cell r="E23" t="str">
            <v>suppressed</v>
          </cell>
          <cell r="F23">
            <v>3152</v>
          </cell>
          <cell r="G23">
            <v>0.23100000000000001</v>
          </cell>
          <cell r="H23">
            <v>3152</v>
          </cell>
          <cell r="I23">
            <v>0.28299999999999997</v>
          </cell>
          <cell r="J23">
            <v>2302</v>
          </cell>
          <cell r="K23">
            <v>0.63700000000000001</v>
          </cell>
          <cell r="L23">
            <v>13639</v>
          </cell>
          <cell r="M23">
            <v>24.64</v>
          </cell>
          <cell r="N23">
            <v>2.5499999999999998</v>
          </cell>
          <cell r="O23">
            <v>11.4</v>
          </cell>
          <cell r="P23">
            <v>13.9</v>
          </cell>
          <cell r="Q23">
            <v>26.5</v>
          </cell>
        </row>
        <row r="24">
          <cell r="A24">
            <v>23</v>
          </cell>
          <cell r="B24" t="str">
            <v>Hamilton</v>
          </cell>
          <cell r="C24" t="str">
            <v>substantial</v>
          </cell>
          <cell r="D24">
            <v>44306</v>
          </cell>
          <cell r="E24">
            <v>76.239999999999995</v>
          </cell>
          <cell r="F24">
            <v>2261</v>
          </cell>
          <cell r="G24">
            <v>0.157</v>
          </cell>
          <cell r="H24">
            <v>2261</v>
          </cell>
          <cell r="I24">
            <v>0.19400000000000001</v>
          </cell>
          <cell r="J24">
            <v>1504</v>
          </cell>
          <cell r="K24">
            <v>0.56499999999999995</v>
          </cell>
          <cell r="L24">
            <v>14428</v>
          </cell>
          <cell r="M24">
            <v>28.08</v>
          </cell>
          <cell r="N24">
            <v>2.44</v>
          </cell>
          <cell r="O24">
            <v>14.3</v>
          </cell>
          <cell r="P24">
            <v>29.5</v>
          </cell>
          <cell r="Q24">
            <v>18.46</v>
          </cell>
        </row>
        <row r="25">
          <cell r="A25">
            <v>24</v>
          </cell>
          <cell r="B25" t="str">
            <v>Hardee</v>
          </cell>
          <cell r="C25" t="str">
            <v>high</v>
          </cell>
          <cell r="D25">
            <v>44306</v>
          </cell>
          <cell r="E25">
            <v>170.77</v>
          </cell>
          <cell r="F25">
            <v>3226</v>
          </cell>
          <cell r="G25">
            <v>0.12</v>
          </cell>
          <cell r="H25">
            <v>3225</v>
          </cell>
          <cell r="I25">
            <v>0.161</v>
          </cell>
          <cell r="J25">
            <v>2364</v>
          </cell>
          <cell r="K25">
            <v>0.504</v>
          </cell>
          <cell r="L25">
            <v>26937</v>
          </cell>
          <cell r="M25">
            <v>42.25</v>
          </cell>
          <cell r="N25">
            <v>3.22</v>
          </cell>
          <cell r="O25">
            <v>12.2</v>
          </cell>
          <cell r="P25">
            <v>26.7</v>
          </cell>
          <cell r="Q25">
            <v>17.43</v>
          </cell>
        </row>
        <row r="26">
          <cell r="A26">
            <v>25</v>
          </cell>
          <cell r="B26" t="str">
            <v>Hendry</v>
          </cell>
          <cell r="C26" t="str">
            <v>high</v>
          </cell>
          <cell r="D26">
            <v>44306</v>
          </cell>
          <cell r="E26">
            <v>104.71</v>
          </cell>
          <cell r="F26">
            <v>6261</v>
          </cell>
          <cell r="G26">
            <v>0.14899999999999999</v>
          </cell>
          <cell r="H26">
            <v>6258</v>
          </cell>
          <cell r="I26">
            <v>0.20300000000000001</v>
          </cell>
          <cell r="J26">
            <v>3587</v>
          </cell>
          <cell r="K26">
            <v>0.621</v>
          </cell>
          <cell r="L26">
            <v>42022</v>
          </cell>
          <cell r="M26">
            <v>36.340000000000003</v>
          </cell>
          <cell r="N26">
            <v>3.17</v>
          </cell>
          <cell r="O26">
            <v>26.2</v>
          </cell>
          <cell r="P26">
            <v>26.8</v>
          </cell>
          <cell r="Q26">
            <v>13.75</v>
          </cell>
        </row>
        <row r="27">
          <cell r="A27">
            <v>26</v>
          </cell>
          <cell r="B27" t="str">
            <v>Hernando</v>
          </cell>
          <cell r="C27" t="str">
            <v>high</v>
          </cell>
          <cell r="D27">
            <v>44306</v>
          </cell>
          <cell r="E27">
            <v>188.74</v>
          </cell>
          <cell r="F27">
            <v>44070</v>
          </cell>
          <cell r="G27">
            <v>0.22700000000000001</v>
          </cell>
          <cell r="H27">
            <v>44051</v>
          </cell>
          <cell r="I27">
            <v>0.27800000000000002</v>
          </cell>
          <cell r="J27">
            <v>31260</v>
          </cell>
          <cell r="K27">
            <v>0.58599999999999997</v>
          </cell>
          <cell r="L27">
            <v>193920</v>
          </cell>
          <cell r="M27">
            <v>410.01</v>
          </cell>
          <cell r="N27">
            <v>2.46</v>
          </cell>
          <cell r="O27">
            <v>12.6</v>
          </cell>
          <cell r="P27">
            <v>14.3</v>
          </cell>
          <cell r="Q27">
            <v>27.51</v>
          </cell>
        </row>
        <row r="28">
          <cell r="A28">
            <v>27</v>
          </cell>
          <cell r="B28" t="str">
            <v>Highlands</v>
          </cell>
          <cell r="C28" t="str">
            <v>high</v>
          </cell>
          <cell r="D28">
            <v>44306</v>
          </cell>
          <cell r="E28">
            <v>192.99</v>
          </cell>
          <cell r="F28">
            <v>24698</v>
          </cell>
          <cell r="G28">
            <v>0.23300000000000001</v>
          </cell>
          <cell r="H28">
            <v>24695</v>
          </cell>
          <cell r="I28">
            <v>0.28000000000000003</v>
          </cell>
          <cell r="J28">
            <v>19752</v>
          </cell>
          <cell r="K28">
            <v>0.51600000000000001</v>
          </cell>
          <cell r="L28">
            <v>106221</v>
          </cell>
          <cell r="M28">
            <v>104.38</v>
          </cell>
          <cell r="N28">
            <v>2.44</v>
          </cell>
          <cell r="O28">
            <v>12.7</v>
          </cell>
          <cell r="P28">
            <v>19.2</v>
          </cell>
          <cell r="Q28">
            <v>36.049999999999997</v>
          </cell>
        </row>
        <row r="29">
          <cell r="A29">
            <v>28</v>
          </cell>
          <cell r="B29" t="str">
            <v>Hillsborough</v>
          </cell>
          <cell r="C29" t="str">
            <v>high</v>
          </cell>
          <cell r="D29">
            <v>44306</v>
          </cell>
          <cell r="E29">
            <v>233.29</v>
          </cell>
          <cell r="F29">
            <v>311087</v>
          </cell>
          <cell r="G29">
            <v>0.21099999999999999</v>
          </cell>
          <cell r="H29">
            <v>310781</v>
          </cell>
          <cell r="I29">
            <v>0.27100000000000002</v>
          </cell>
          <cell r="J29">
            <v>128588</v>
          </cell>
          <cell r="K29">
            <v>0.60099999999999998</v>
          </cell>
          <cell r="L29">
            <v>1471968</v>
          </cell>
          <cell r="M29">
            <v>1440.39</v>
          </cell>
          <cell r="N29">
            <v>2.63</v>
          </cell>
          <cell r="O29">
            <v>13</v>
          </cell>
          <cell r="P29">
            <v>15.3</v>
          </cell>
          <cell r="Q29">
            <v>14.54</v>
          </cell>
        </row>
        <row r="30">
          <cell r="A30">
            <v>29</v>
          </cell>
          <cell r="B30" t="str">
            <v>Holmes</v>
          </cell>
          <cell r="C30" t="str">
            <v>moderate</v>
          </cell>
          <cell r="D30">
            <v>44306</v>
          </cell>
          <cell r="E30" t="str">
            <v>suppressed</v>
          </cell>
          <cell r="F30">
            <v>2553</v>
          </cell>
          <cell r="G30">
            <v>0.13</v>
          </cell>
          <cell r="H30">
            <v>2552</v>
          </cell>
          <cell r="I30">
            <v>0.16300000000000001</v>
          </cell>
          <cell r="J30">
            <v>1715</v>
          </cell>
          <cell r="K30">
            <v>0.437</v>
          </cell>
          <cell r="L30">
            <v>19617</v>
          </cell>
          <cell r="M30">
            <v>40.97</v>
          </cell>
          <cell r="N30">
            <v>2.5099999999999998</v>
          </cell>
          <cell r="O30">
            <v>18.899999999999999</v>
          </cell>
          <cell r="P30">
            <v>25.6</v>
          </cell>
          <cell r="Q30">
            <v>19.989999999999998</v>
          </cell>
        </row>
        <row r="31">
          <cell r="A31">
            <v>30</v>
          </cell>
          <cell r="B31" t="str">
            <v>Indian River</v>
          </cell>
          <cell r="C31" t="str">
            <v>high</v>
          </cell>
          <cell r="D31">
            <v>44306</v>
          </cell>
          <cell r="E31">
            <v>111.93</v>
          </cell>
          <cell r="F31">
            <v>47808</v>
          </cell>
          <cell r="G31">
            <v>0.29899999999999999</v>
          </cell>
          <cell r="H31">
            <v>47792</v>
          </cell>
          <cell r="I31">
            <v>0.35399999999999998</v>
          </cell>
          <cell r="J31">
            <v>36381</v>
          </cell>
          <cell r="K31">
            <v>0.67200000000000004</v>
          </cell>
          <cell r="L31">
            <v>159923</v>
          </cell>
          <cell r="M31">
            <v>318.08</v>
          </cell>
          <cell r="N31">
            <v>2.6</v>
          </cell>
          <cell r="O31">
            <v>12.1</v>
          </cell>
          <cell r="P31">
            <v>12.2</v>
          </cell>
          <cell r="Q31">
            <v>33.85</v>
          </cell>
        </row>
        <row r="32">
          <cell r="A32">
            <v>31</v>
          </cell>
          <cell r="B32" t="str">
            <v>Jackson</v>
          </cell>
          <cell r="C32" t="str">
            <v>substantial</v>
          </cell>
          <cell r="D32">
            <v>44306</v>
          </cell>
          <cell r="E32">
            <v>58.17</v>
          </cell>
          <cell r="F32">
            <v>8658</v>
          </cell>
          <cell r="G32">
            <v>0.187</v>
          </cell>
          <cell r="H32">
            <v>8657</v>
          </cell>
          <cell r="I32">
            <v>0.23</v>
          </cell>
          <cell r="J32">
            <v>5193</v>
          </cell>
          <cell r="K32">
            <v>0.54300000000000004</v>
          </cell>
          <cell r="L32">
            <v>46414</v>
          </cell>
          <cell r="M32">
            <v>50.55</v>
          </cell>
          <cell r="N32">
            <v>2.4</v>
          </cell>
          <cell r="O32">
            <v>11.3</v>
          </cell>
          <cell r="P32">
            <v>20.6</v>
          </cell>
          <cell r="Q32">
            <v>20.62</v>
          </cell>
        </row>
        <row r="33">
          <cell r="A33">
            <v>32</v>
          </cell>
          <cell r="B33" t="str">
            <v>Jefferson</v>
          </cell>
          <cell r="C33" t="str">
            <v>high</v>
          </cell>
          <cell r="D33">
            <v>44306</v>
          </cell>
          <cell r="E33">
            <v>133.37</v>
          </cell>
          <cell r="F33">
            <v>4430</v>
          </cell>
          <cell r="G33">
            <v>0.311</v>
          </cell>
          <cell r="H33">
            <v>4430</v>
          </cell>
          <cell r="I33">
            <v>0.373</v>
          </cell>
          <cell r="J33">
            <v>3183</v>
          </cell>
          <cell r="K33">
            <v>0.90700000000000003</v>
          </cell>
          <cell r="L33">
            <v>14246</v>
          </cell>
          <cell r="M33">
            <v>23.82</v>
          </cell>
          <cell r="N33">
            <v>2.04</v>
          </cell>
          <cell r="O33">
            <v>6.4</v>
          </cell>
          <cell r="P33">
            <v>14.1</v>
          </cell>
          <cell r="Q33">
            <v>24.65</v>
          </cell>
        </row>
        <row r="34">
          <cell r="A34">
            <v>33</v>
          </cell>
          <cell r="B34" t="str">
            <v>Lafayette</v>
          </cell>
          <cell r="C34" t="str">
            <v>moderate</v>
          </cell>
          <cell r="D34">
            <v>44306</v>
          </cell>
          <cell r="E34" t="str">
            <v>suppressed</v>
          </cell>
          <cell r="F34">
            <v>1295</v>
          </cell>
          <cell r="G34">
            <v>0.154</v>
          </cell>
          <cell r="H34">
            <v>1295</v>
          </cell>
          <cell r="I34">
            <v>0.192</v>
          </cell>
          <cell r="J34">
            <v>1058</v>
          </cell>
          <cell r="K34">
            <v>0.72699999999999998</v>
          </cell>
          <cell r="L34">
            <v>8422</v>
          </cell>
          <cell r="M34">
            <v>15.5</v>
          </cell>
          <cell r="N34">
            <v>3.43</v>
          </cell>
          <cell r="O34">
            <v>17.600000000000001</v>
          </cell>
          <cell r="P34">
            <v>20.100000000000001</v>
          </cell>
          <cell r="Q34">
            <v>17.28</v>
          </cell>
        </row>
        <row r="35">
          <cell r="A35">
            <v>34</v>
          </cell>
          <cell r="B35" t="str">
            <v>Lake</v>
          </cell>
          <cell r="C35" t="str">
            <v>high</v>
          </cell>
          <cell r="D35">
            <v>44306</v>
          </cell>
          <cell r="E35">
            <v>186.59</v>
          </cell>
          <cell r="F35">
            <v>106393</v>
          </cell>
          <cell r="G35">
            <v>0.28999999999999998</v>
          </cell>
          <cell r="H35">
            <v>106298</v>
          </cell>
          <cell r="I35">
            <v>0.35699999999999998</v>
          </cell>
          <cell r="J35">
            <v>74828</v>
          </cell>
          <cell r="K35">
            <v>0.753</v>
          </cell>
          <cell r="L35">
            <v>367118</v>
          </cell>
          <cell r="M35">
            <v>386.13</v>
          </cell>
          <cell r="N35">
            <v>2.5499999999999998</v>
          </cell>
          <cell r="O35">
            <v>11.6</v>
          </cell>
          <cell r="P35">
            <v>12.5</v>
          </cell>
          <cell r="Q35">
            <v>27.07</v>
          </cell>
        </row>
        <row r="36">
          <cell r="A36">
            <v>35</v>
          </cell>
          <cell r="B36" t="str">
            <v>Lee</v>
          </cell>
          <cell r="C36" t="str">
            <v>high</v>
          </cell>
          <cell r="D36">
            <v>44306</v>
          </cell>
          <cell r="E36">
            <v>212.7</v>
          </cell>
          <cell r="F36">
            <v>191878</v>
          </cell>
          <cell r="G36">
            <v>0.249</v>
          </cell>
          <cell r="H36">
            <v>191837</v>
          </cell>
          <cell r="I36">
            <v>0.30099999999999999</v>
          </cell>
          <cell r="J36">
            <v>143658</v>
          </cell>
          <cell r="K36">
            <v>0.64</v>
          </cell>
          <cell r="L36">
            <v>770577</v>
          </cell>
          <cell r="M36">
            <v>986.08</v>
          </cell>
          <cell r="N36">
            <v>2.61</v>
          </cell>
          <cell r="O36">
            <v>14.3</v>
          </cell>
          <cell r="P36">
            <v>14</v>
          </cell>
          <cell r="Q36">
            <v>29.15</v>
          </cell>
        </row>
        <row r="37">
          <cell r="A37">
            <v>36</v>
          </cell>
          <cell r="B37" t="str">
            <v>Leon</v>
          </cell>
          <cell r="C37" t="str">
            <v>substantial</v>
          </cell>
          <cell r="D37">
            <v>44306</v>
          </cell>
          <cell r="E37">
            <v>96.05</v>
          </cell>
          <cell r="F37">
            <v>69924</v>
          </cell>
          <cell r="G37">
            <v>0.23799999999999999</v>
          </cell>
          <cell r="H37">
            <v>69822</v>
          </cell>
          <cell r="I37">
            <v>0.29199999999999998</v>
          </cell>
          <cell r="J37">
            <v>31571</v>
          </cell>
          <cell r="K37">
            <v>0.77400000000000002</v>
          </cell>
          <cell r="L37">
            <v>293582</v>
          </cell>
          <cell r="M37">
            <v>440.23</v>
          </cell>
          <cell r="N37">
            <v>2.4300000000000002</v>
          </cell>
          <cell r="O37">
            <v>8.1999999999999993</v>
          </cell>
          <cell r="P37">
            <v>20.399999999999999</v>
          </cell>
          <cell r="Q37">
            <v>13.89</v>
          </cell>
        </row>
        <row r="38">
          <cell r="A38">
            <v>37</v>
          </cell>
          <cell r="B38" t="str">
            <v>Levy</v>
          </cell>
          <cell r="C38" t="str">
            <v>high</v>
          </cell>
          <cell r="D38">
            <v>44306</v>
          </cell>
          <cell r="E38">
            <v>207.21</v>
          </cell>
          <cell r="F38">
            <v>7534</v>
          </cell>
          <cell r="G38">
            <v>0.182</v>
          </cell>
          <cell r="H38">
            <v>7529</v>
          </cell>
          <cell r="I38">
            <v>0.22500000000000001</v>
          </cell>
          <cell r="J38">
            <v>5335</v>
          </cell>
          <cell r="K38">
            <v>0.51100000000000001</v>
          </cell>
          <cell r="L38">
            <v>41503</v>
          </cell>
          <cell r="M38">
            <v>37.119999999999997</v>
          </cell>
          <cell r="N38">
            <v>2.41</v>
          </cell>
          <cell r="O38">
            <v>15.5</v>
          </cell>
          <cell r="P38">
            <v>20.7</v>
          </cell>
          <cell r="Q38">
            <v>25.15</v>
          </cell>
        </row>
        <row r="39">
          <cell r="A39">
            <v>38</v>
          </cell>
          <cell r="B39" t="str">
            <v>Liberty</v>
          </cell>
          <cell r="C39" t="str">
            <v>moderate</v>
          </cell>
          <cell r="D39">
            <v>44306</v>
          </cell>
          <cell r="E39" t="str">
            <v>suppressed</v>
          </cell>
          <cell r="F39">
            <v>1167</v>
          </cell>
          <cell r="G39">
            <v>0.14000000000000001</v>
          </cell>
          <cell r="H39">
            <v>1167</v>
          </cell>
          <cell r="I39">
            <v>0.16900000000000001</v>
          </cell>
          <cell r="J39">
            <v>706</v>
          </cell>
          <cell r="K39">
            <v>0.56200000000000006</v>
          </cell>
          <cell r="L39">
            <v>8354</v>
          </cell>
          <cell r="M39">
            <v>10</v>
          </cell>
          <cell r="N39">
            <v>2.9</v>
          </cell>
          <cell r="O39">
            <v>18.5</v>
          </cell>
          <cell r="P39">
            <v>13</v>
          </cell>
          <cell r="Q39">
            <v>15.04</v>
          </cell>
        </row>
        <row r="40">
          <cell r="A40">
            <v>39</v>
          </cell>
          <cell r="B40" t="str">
            <v>Madison</v>
          </cell>
          <cell r="C40" t="str">
            <v>moderate</v>
          </cell>
          <cell r="D40">
            <v>44306</v>
          </cell>
          <cell r="E40" t="str">
            <v>suppressed</v>
          </cell>
          <cell r="F40">
            <v>3792</v>
          </cell>
          <cell r="G40">
            <v>0.20499999999999999</v>
          </cell>
          <cell r="H40">
            <v>3791</v>
          </cell>
          <cell r="I40">
            <v>0.251</v>
          </cell>
          <cell r="J40">
            <v>2428</v>
          </cell>
          <cell r="K40">
            <v>0.622</v>
          </cell>
          <cell r="L40">
            <v>18493</v>
          </cell>
          <cell r="M40">
            <v>26.55</v>
          </cell>
          <cell r="N40">
            <v>2.4500000000000002</v>
          </cell>
          <cell r="O40">
            <v>13.1</v>
          </cell>
          <cell r="P40">
            <v>28.2</v>
          </cell>
          <cell r="Q40">
            <v>21.1</v>
          </cell>
        </row>
        <row r="41">
          <cell r="A41">
            <v>40</v>
          </cell>
          <cell r="B41" t="str">
            <v>Manatee</v>
          </cell>
          <cell r="C41" t="str">
            <v>high</v>
          </cell>
          <cell r="D41">
            <v>44306</v>
          </cell>
          <cell r="E41">
            <v>213.02</v>
          </cell>
          <cell r="F41">
            <v>99714</v>
          </cell>
          <cell r="G41">
            <v>0.247</v>
          </cell>
          <cell r="H41">
            <v>99689</v>
          </cell>
          <cell r="I41">
            <v>0.30099999999999999</v>
          </cell>
          <cell r="J41">
            <v>71832</v>
          </cell>
          <cell r="K41">
            <v>0.63500000000000001</v>
          </cell>
          <cell r="L41">
            <v>403253</v>
          </cell>
          <cell r="M41">
            <v>542.28</v>
          </cell>
          <cell r="N41">
            <v>2.57</v>
          </cell>
          <cell r="O41">
            <v>12.7</v>
          </cell>
          <cell r="P41">
            <v>12.5</v>
          </cell>
          <cell r="Q41">
            <v>28.06</v>
          </cell>
        </row>
        <row r="42">
          <cell r="A42">
            <v>41</v>
          </cell>
          <cell r="B42" t="str">
            <v>Marion</v>
          </cell>
          <cell r="C42" t="str">
            <v>high</v>
          </cell>
          <cell r="D42">
            <v>44306</v>
          </cell>
          <cell r="E42">
            <v>109.69</v>
          </cell>
          <cell r="F42">
            <v>89344</v>
          </cell>
          <cell r="G42">
            <v>0.24399999999999999</v>
          </cell>
          <cell r="H42">
            <v>89318</v>
          </cell>
          <cell r="I42">
            <v>0.3</v>
          </cell>
          <cell r="J42">
            <v>64995</v>
          </cell>
          <cell r="K42">
            <v>0.60899999999999999</v>
          </cell>
          <cell r="L42">
            <v>365579</v>
          </cell>
          <cell r="M42">
            <v>230.15</v>
          </cell>
          <cell r="N42">
            <v>2.48</v>
          </cell>
          <cell r="O42">
            <v>12.3</v>
          </cell>
          <cell r="P42">
            <v>16.600000000000001</v>
          </cell>
          <cell r="Q42">
            <v>29.18</v>
          </cell>
        </row>
        <row r="43">
          <cell r="A43">
            <v>42</v>
          </cell>
          <cell r="B43" t="str">
            <v>Martin</v>
          </cell>
          <cell r="C43" t="str">
            <v>high</v>
          </cell>
          <cell r="D43">
            <v>44306</v>
          </cell>
          <cell r="E43">
            <v>134.16</v>
          </cell>
          <cell r="F43">
            <v>47897</v>
          </cell>
          <cell r="G43">
            <v>0.29699999999999999</v>
          </cell>
          <cell r="H43">
            <v>47877</v>
          </cell>
          <cell r="I43">
            <v>0.35499999999999998</v>
          </cell>
          <cell r="J43">
            <v>36283</v>
          </cell>
          <cell r="K43">
            <v>0.71499999999999997</v>
          </cell>
          <cell r="L43">
            <v>161000</v>
          </cell>
          <cell r="M43">
            <v>296.05</v>
          </cell>
          <cell r="N43">
            <v>2.41</v>
          </cell>
          <cell r="O43">
            <v>11.5</v>
          </cell>
          <cell r="P43">
            <v>10.5</v>
          </cell>
          <cell r="Q43">
            <v>31.53</v>
          </cell>
        </row>
        <row r="44">
          <cell r="A44">
            <v>43</v>
          </cell>
          <cell r="B44" t="str">
            <v>Miami-Dade</v>
          </cell>
          <cell r="C44" t="str">
            <v>high</v>
          </cell>
          <cell r="D44">
            <v>44306</v>
          </cell>
          <cell r="E44">
            <v>368.61</v>
          </cell>
          <cell r="F44">
            <v>687013</v>
          </cell>
          <cell r="G44">
            <v>0.253</v>
          </cell>
          <cell r="H44">
            <v>685536</v>
          </cell>
          <cell r="I44">
            <v>0.316</v>
          </cell>
          <cell r="J44">
            <v>298133</v>
          </cell>
          <cell r="K44">
            <v>0.65900000000000003</v>
          </cell>
          <cell r="L44">
            <v>2716940</v>
          </cell>
          <cell r="M44">
            <v>1430.09</v>
          </cell>
          <cell r="N44">
            <v>3.07</v>
          </cell>
          <cell r="O44">
            <v>18.100000000000001</v>
          </cell>
          <cell r="P44">
            <v>18</v>
          </cell>
          <cell r="Q44">
            <v>16.66</v>
          </cell>
        </row>
        <row r="45">
          <cell r="A45">
            <v>44</v>
          </cell>
          <cell r="B45" t="str">
            <v>Monroe</v>
          </cell>
          <cell r="C45" t="str">
            <v>high</v>
          </cell>
          <cell r="D45">
            <v>44306</v>
          </cell>
          <cell r="E45">
            <v>134.72</v>
          </cell>
          <cell r="F45">
            <v>21894</v>
          </cell>
          <cell r="G45">
            <v>0.29499999999999998</v>
          </cell>
          <cell r="H45">
            <v>21885</v>
          </cell>
          <cell r="I45">
            <v>0.34799999999999998</v>
          </cell>
          <cell r="J45">
            <v>13445</v>
          </cell>
          <cell r="K45">
            <v>0.76300000000000001</v>
          </cell>
          <cell r="L45">
            <v>74228</v>
          </cell>
          <cell r="M45">
            <v>75.510000000000005</v>
          </cell>
          <cell r="N45">
            <v>2.39</v>
          </cell>
          <cell r="O45">
            <v>17.8</v>
          </cell>
          <cell r="P45">
            <v>11.8</v>
          </cell>
          <cell r="Q45">
            <v>23.75</v>
          </cell>
        </row>
        <row r="46">
          <cell r="A46">
            <v>45</v>
          </cell>
          <cell r="B46" t="str">
            <v>Nassau</v>
          </cell>
          <cell r="C46" t="str">
            <v>high</v>
          </cell>
          <cell r="D46">
            <v>44306</v>
          </cell>
          <cell r="E46">
            <v>102.68</v>
          </cell>
          <cell r="F46">
            <v>25238</v>
          </cell>
          <cell r="G46">
            <v>0.28499999999999998</v>
          </cell>
          <cell r="H46">
            <v>25224</v>
          </cell>
          <cell r="I46">
            <v>0.35399999999999998</v>
          </cell>
          <cell r="J46">
            <v>15586</v>
          </cell>
          <cell r="K46">
            <v>0.77</v>
          </cell>
          <cell r="L46">
            <v>88625</v>
          </cell>
          <cell r="M46">
            <v>136.62</v>
          </cell>
          <cell r="N46">
            <v>2.5499999999999998</v>
          </cell>
          <cell r="O46">
            <v>11</v>
          </cell>
          <cell r="P46">
            <v>10.199999999999999</v>
          </cell>
          <cell r="Q46">
            <v>22.83</v>
          </cell>
        </row>
        <row r="47">
          <cell r="A47">
            <v>46</v>
          </cell>
          <cell r="B47" t="str">
            <v>Okaloosa</v>
          </cell>
          <cell r="C47" t="str">
            <v>substantial</v>
          </cell>
          <cell r="D47">
            <v>44306</v>
          </cell>
          <cell r="E47">
            <v>93.48</v>
          </cell>
          <cell r="F47">
            <v>45036</v>
          </cell>
          <cell r="G47">
            <v>0.214</v>
          </cell>
          <cell r="H47">
            <v>45011</v>
          </cell>
          <cell r="I47">
            <v>0.27500000000000002</v>
          </cell>
          <cell r="J47">
            <v>24296</v>
          </cell>
          <cell r="K47">
            <v>0.70699999999999996</v>
          </cell>
          <cell r="L47">
            <v>210738</v>
          </cell>
          <cell r="M47">
            <v>226.55</v>
          </cell>
          <cell r="N47">
            <v>2.52</v>
          </cell>
          <cell r="O47">
            <v>12.2</v>
          </cell>
          <cell r="P47">
            <v>11.5</v>
          </cell>
          <cell r="Q47">
            <v>16.309999999999999</v>
          </cell>
        </row>
        <row r="48">
          <cell r="A48">
            <v>47</v>
          </cell>
          <cell r="B48" t="str">
            <v>Okeechobee</v>
          </cell>
          <cell r="C48" t="str">
            <v>high</v>
          </cell>
          <cell r="D48">
            <v>44306</v>
          </cell>
          <cell r="E48">
            <v>135.16999999999999</v>
          </cell>
          <cell r="F48">
            <v>6969</v>
          </cell>
          <cell r="G48">
            <v>0.16500000000000001</v>
          </cell>
          <cell r="H48">
            <v>6967</v>
          </cell>
          <cell r="I48">
            <v>0.21</v>
          </cell>
          <cell r="J48">
            <v>5336</v>
          </cell>
          <cell r="K48">
            <v>0.629</v>
          </cell>
          <cell r="L48">
            <v>42168</v>
          </cell>
          <cell r="M48">
            <v>54.82</v>
          </cell>
          <cell r="N48">
            <v>2.73</v>
          </cell>
          <cell r="O48">
            <v>18.100000000000001</v>
          </cell>
          <cell r="P48">
            <v>22.7</v>
          </cell>
          <cell r="Q48">
            <v>20.12</v>
          </cell>
        </row>
        <row r="49">
          <cell r="A49">
            <v>48</v>
          </cell>
          <cell r="B49" t="str">
            <v>Orange</v>
          </cell>
          <cell r="C49" t="str">
            <v>high</v>
          </cell>
          <cell r="D49">
            <v>44306</v>
          </cell>
          <cell r="E49">
            <v>227.78</v>
          </cell>
          <cell r="F49">
            <v>297494</v>
          </cell>
          <cell r="G49">
            <v>0.21299999999999999</v>
          </cell>
          <cell r="H49">
            <v>296808</v>
          </cell>
          <cell r="I49">
            <v>0.27300000000000002</v>
          </cell>
          <cell r="J49">
            <v>116089</v>
          </cell>
          <cell r="K49">
            <v>0.67700000000000005</v>
          </cell>
          <cell r="L49">
            <v>1393452</v>
          </cell>
          <cell r="M49">
            <v>1545.08</v>
          </cell>
          <cell r="N49">
            <v>2.81</v>
          </cell>
          <cell r="O49">
            <v>14.5</v>
          </cell>
          <cell r="P49">
            <v>16.100000000000001</v>
          </cell>
          <cell r="Q49">
            <v>12.31</v>
          </cell>
        </row>
        <row r="50">
          <cell r="A50">
            <v>49</v>
          </cell>
          <cell r="B50" t="str">
            <v>Osceola</v>
          </cell>
          <cell r="C50" t="str">
            <v>high</v>
          </cell>
          <cell r="D50">
            <v>44306</v>
          </cell>
          <cell r="E50">
            <v>312.17</v>
          </cell>
          <cell r="F50">
            <v>72232</v>
          </cell>
          <cell r="G50">
            <v>0.192</v>
          </cell>
          <cell r="H50">
            <v>72156</v>
          </cell>
          <cell r="I50">
            <v>0.253</v>
          </cell>
          <cell r="J50">
            <v>34599</v>
          </cell>
          <cell r="K50">
            <v>0.68100000000000005</v>
          </cell>
          <cell r="L50">
            <v>375751</v>
          </cell>
          <cell r="M50">
            <v>283.04000000000002</v>
          </cell>
          <cell r="N50">
            <v>3.4</v>
          </cell>
          <cell r="O50">
            <v>15.8</v>
          </cell>
          <cell r="P50">
            <v>16.3</v>
          </cell>
          <cell r="Q50">
            <v>13.52</v>
          </cell>
        </row>
        <row r="51">
          <cell r="A51">
            <v>50</v>
          </cell>
          <cell r="B51" t="str">
            <v>Palm Beach</v>
          </cell>
          <cell r="C51" t="str">
            <v>high</v>
          </cell>
          <cell r="D51">
            <v>44306</v>
          </cell>
          <cell r="E51">
            <v>191.01</v>
          </cell>
          <cell r="F51">
            <v>386012</v>
          </cell>
          <cell r="G51">
            <v>0.25800000000000001</v>
          </cell>
          <cell r="H51">
            <v>385609</v>
          </cell>
          <cell r="I51">
            <v>0.318</v>
          </cell>
          <cell r="J51">
            <v>245369</v>
          </cell>
          <cell r="K51">
            <v>0.67300000000000004</v>
          </cell>
          <cell r="L51">
            <v>1496770</v>
          </cell>
          <cell r="M51">
            <v>761.99</v>
          </cell>
          <cell r="N51">
            <v>2.6</v>
          </cell>
          <cell r="O51">
            <v>13.6</v>
          </cell>
          <cell r="P51">
            <v>12.8</v>
          </cell>
          <cell r="Q51">
            <v>24.36</v>
          </cell>
        </row>
        <row r="52">
          <cell r="A52">
            <v>51</v>
          </cell>
          <cell r="B52" t="str">
            <v>Pasco</v>
          </cell>
          <cell r="C52" t="str">
            <v>high</v>
          </cell>
          <cell r="D52">
            <v>44306</v>
          </cell>
          <cell r="E52">
            <v>200.74</v>
          </cell>
          <cell r="F52">
            <v>121479</v>
          </cell>
          <cell r="G52">
            <v>0.219</v>
          </cell>
          <cell r="H52">
            <v>121403</v>
          </cell>
          <cell r="I52">
            <v>0.27500000000000002</v>
          </cell>
          <cell r="J52">
            <v>74821</v>
          </cell>
          <cell r="K52">
            <v>0.59599999999999997</v>
          </cell>
          <cell r="L52">
            <v>553947</v>
          </cell>
          <cell r="M52">
            <v>741.98</v>
          </cell>
          <cell r="N52">
            <v>2.52</v>
          </cell>
          <cell r="O52">
            <v>11.8</v>
          </cell>
          <cell r="P52">
            <v>13.5</v>
          </cell>
          <cell r="Q52">
            <v>22.65</v>
          </cell>
        </row>
        <row r="53">
          <cell r="A53">
            <v>52</v>
          </cell>
          <cell r="B53" t="str">
            <v>Pinellas</v>
          </cell>
          <cell r="C53" t="str">
            <v>high</v>
          </cell>
          <cell r="D53">
            <v>44306</v>
          </cell>
          <cell r="E53">
            <v>162.15</v>
          </cell>
          <cell r="F53">
            <v>274093</v>
          </cell>
          <cell r="G53">
            <v>0.28100000000000003</v>
          </cell>
          <cell r="H53">
            <v>273914</v>
          </cell>
          <cell r="I53">
            <v>0.33400000000000002</v>
          </cell>
          <cell r="J53">
            <v>160213</v>
          </cell>
          <cell r="K53">
            <v>0.64700000000000002</v>
          </cell>
          <cell r="L53">
            <v>974996</v>
          </cell>
          <cell r="M53">
            <v>3561.28</v>
          </cell>
          <cell r="N53">
            <v>2.31</v>
          </cell>
          <cell r="O53">
            <v>11.5</v>
          </cell>
          <cell r="P53">
            <v>13</v>
          </cell>
          <cell r="Q53">
            <v>25.4</v>
          </cell>
        </row>
        <row r="54">
          <cell r="A54">
            <v>53</v>
          </cell>
          <cell r="B54" t="str">
            <v>Polk</v>
          </cell>
          <cell r="C54" t="str">
            <v>high</v>
          </cell>
          <cell r="D54">
            <v>44306</v>
          </cell>
          <cell r="E54">
            <v>232.07</v>
          </cell>
          <cell r="F54">
            <v>137120</v>
          </cell>
          <cell r="G54">
            <v>0.189</v>
          </cell>
          <cell r="H54">
            <v>137031</v>
          </cell>
          <cell r="I54">
            <v>0.24199999999999999</v>
          </cell>
          <cell r="J54">
            <v>85415</v>
          </cell>
          <cell r="K54">
            <v>0.57599999999999996</v>
          </cell>
          <cell r="L54">
            <v>724777</v>
          </cell>
          <cell r="M54">
            <v>403.21</v>
          </cell>
          <cell r="N54">
            <v>2.84</v>
          </cell>
          <cell r="O54">
            <v>13.2</v>
          </cell>
          <cell r="P54">
            <v>16.600000000000001</v>
          </cell>
          <cell r="Q54">
            <v>20.440000000000001</v>
          </cell>
        </row>
        <row r="55">
          <cell r="A55">
            <v>54</v>
          </cell>
          <cell r="B55" t="str">
            <v>Putnam</v>
          </cell>
          <cell r="C55" t="str">
            <v>high</v>
          </cell>
          <cell r="D55">
            <v>44306</v>
          </cell>
          <cell r="E55">
            <v>163.71</v>
          </cell>
          <cell r="F55">
            <v>11614</v>
          </cell>
          <cell r="G55">
            <v>0.156</v>
          </cell>
          <cell r="H55">
            <v>11611</v>
          </cell>
          <cell r="I55">
            <v>0.19800000000000001</v>
          </cell>
          <cell r="J55">
            <v>7995</v>
          </cell>
          <cell r="K55">
            <v>0.45200000000000001</v>
          </cell>
          <cell r="L55">
            <v>74521</v>
          </cell>
          <cell r="M55">
            <v>102.38</v>
          </cell>
          <cell r="N55">
            <v>2.52</v>
          </cell>
          <cell r="O55">
            <v>16</v>
          </cell>
          <cell r="P55">
            <v>24.8</v>
          </cell>
          <cell r="Q55">
            <v>23.72</v>
          </cell>
        </row>
        <row r="56">
          <cell r="A56">
            <v>55</v>
          </cell>
          <cell r="B56" t="str">
            <v>Santa Rosa</v>
          </cell>
          <cell r="C56" t="str">
            <v>moderate</v>
          </cell>
          <cell r="D56">
            <v>44306</v>
          </cell>
          <cell r="E56">
            <v>46.12</v>
          </cell>
          <cell r="F56">
            <v>35329</v>
          </cell>
          <cell r="G56">
            <v>0.192</v>
          </cell>
          <cell r="H56">
            <v>35293</v>
          </cell>
          <cell r="I56">
            <v>0.245</v>
          </cell>
          <cell r="J56">
            <v>19921</v>
          </cell>
          <cell r="K56">
            <v>0.66100000000000003</v>
          </cell>
          <cell r="L56">
            <v>184313</v>
          </cell>
          <cell r="M56">
            <v>182.06</v>
          </cell>
          <cell r="N56">
            <v>2.68</v>
          </cell>
          <cell r="O56">
            <v>10</v>
          </cell>
          <cell r="P56">
            <v>9.8000000000000007</v>
          </cell>
          <cell r="Q56">
            <v>16.34</v>
          </cell>
        </row>
        <row r="57">
          <cell r="A57">
            <v>56</v>
          </cell>
          <cell r="B57" t="str">
            <v>Sarasota</v>
          </cell>
          <cell r="C57" t="str">
            <v>high</v>
          </cell>
          <cell r="D57">
            <v>44306</v>
          </cell>
          <cell r="E57">
            <v>179.6</v>
          </cell>
          <cell r="F57">
            <v>144412</v>
          </cell>
          <cell r="G57">
            <v>0.33300000000000002</v>
          </cell>
          <cell r="H57">
            <v>144342</v>
          </cell>
          <cell r="I57">
            <v>0.38700000000000001</v>
          </cell>
          <cell r="J57">
            <v>111679</v>
          </cell>
          <cell r="K57">
            <v>0.69</v>
          </cell>
          <cell r="L57">
            <v>433742</v>
          </cell>
          <cell r="M57">
            <v>780.13</v>
          </cell>
          <cell r="N57">
            <v>2.25</v>
          </cell>
          <cell r="O57">
            <v>11.4</v>
          </cell>
          <cell r="P57">
            <v>9.6999999999999993</v>
          </cell>
          <cell r="Q57">
            <v>37.340000000000003</v>
          </cell>
        </row>
        <row r="58">
          <cell r="A58">
            <v>57</v>
          </cell>
          <cell r="B58" t="str">
            <v>Seminole</v>
          </cell>
          <cell r="C58" t="str">
            <v>high</v>
          </cell>
          <cell r="D58">
            <v>44306</v>
          </cell>
          <cell r="E58">
            <v>204.95</v>
          </cell>
          <cell r="F58">
            <v>97847</v>
          </cell>
          <cell r="G58">
            <v>0.20699999999999999</v>
          </cell>
          <cell r="H58">
            <v>97684</v>
          </cell>
          <cell r="I58">
            <v>0.26100000000000001</v>
          </cell>
          <cell r="J58">
            <v>47564</v>
          </cell>
          <cell r="K58">
            <v>0.63100000000000001</v>
          </cell>
          <cell r="L58">
            <v>471826</v>
          </cell>
          <cell r="M58">
            <v>1525.34</v>
          </cell>
          <cell r="N58">
            <v>2.7</v>
          </cell>
          <cell r="O58">
            <v>10.4</v>
          </cell>
          <cell r="P58">
            <v>11.4</v>
          </cell>
          <cell r="Q58">
            <v>15.98</v>
          </cell>
        </row>
        <row r="59">
          <cell r="A59">
            <v>58</v>
          </cell>
          <cell r="B59" t="str">
            <v>St. Johns</v>
          </cell>
          <cell r="C59" t="str">
            <v>high</v>
          </cell>
          <cell r="D59">
            <v>44306</v>
          </cell>
          <cell r="E59">
            <v>114.86</v>
          </cell>
          <cell r="F59">
            <v>84283</v>
          </cell>
          <cell r="G59">
            <v>0.318</v>
          </cell>
          <cell r="H59">
            <v>84135</v>
          </cell>
          <cell r="I59">
            <v>0.40600000000000003</v>
          </cell>
          <cell r="J59">
            <v>45506</v>
          </cell>
          <cell r="K59">
            <v>0.83299999999999996</v>
          </cell>
          <cell r="L59">
            <v>264672</v>
          </cell>
          <cell r="M59">
            <v>440.71</v>
          </cell>
          <cell r="N59">
            <v>2.7</v>
          </cell>
          <cell r="O59">
            <v>8.4</v>
          </cell>
          <cell r="P59">
            <v>8.4</v>
          </cell>
          <cell r="Q59">
            <v>20.65</v>
          </cell>
        </row>
        <row r="60">
          <cell r="A60">
            <v>59</v>
          </cell>
          <cell r="B60" t="str">
            <v>St. Lucie</v>
          </cell>
          <cell r="C60" t="str">
            <v>high</v>
          </cell>
          <cell r="D60">
            <v>44306</v>
          </cell>
          <cell r="E60">
            <v>154.43</v>
          </cell>
          <cell r="F60">
            <v>69705</v>
          </cell>
          <cell r="G60">
            <v>0.21199999999999999</v>
          </cell>
          <cell r="H60">
            <v>69685</v>
          </cell>
          <cell r="I60">
            <v>0.26400000000000001</v>
          </cell>
          <cell r="J60">
            <v>48188</v>
          </cell>
          <cell r="K60">
            <v>0.59499999999999997</v>
          </cell>
          <cell r="L60">
            <v>328297</v>
          </cell>
          <cell r="M60">
            <v>574.29999999999995</v>
          </cell>
          <cell r="N60">
            <v>2.68</v>
          </cell>
          <cell r="O60">
            <v>14</v>
          </cell>
          <cell r="P60">
            <v>15</v>
          </cell>
          <cell r="Q60">
            <v>24.65</v>
          </cell>
        </row>
        <row r="61">
          <cell r="A61">
            <v>60</v>
          </cell>
          <cell r="B61" t="str">
            <v>Sumter</v>
          </cell>
          <cell r="C61" t="str">
            <v>substantial</v>
          </cell>
          <cell r="D61">
            <v>44306</v>
          </cell>
          <cell r="E61">
            <v>79.290000000000006</v>
          </cell>
          <cell r="F61">
            <v>70751</v>
          </cell>
          <cell r="G61">
            <v>0.53400000000000003</v>
          </cell>
          <cell r="H61">
            <v>70741</v>
          </cell>
          <cell r="I61">
            <v>0.57499999999999996</v>
          </cell>
          <cell r="J61">
            <v>61649</v>
          </cell>
          <cell r="K61">
            <v>0.8</v>
          </cell>
          <cell r="L61">
            <v>132420</v>
          </cell>
          <cell r="M61">
            <v>237.68</v>
          </cell>
          <cell r="N61">
            <v>2.04</v>
          </cell>
          <cell r="O61">
            <v>6.2</v>
          </cell>
          <cell r="P61">
            <v>8.8000000000000007</v>
          </cell>
          <cell r="Q61">
            <v>58.17</v>
          </cell>
        </row>
        <row r="62">
          <cell r="A62">
            <v>61</v>
          </cell>
          <cell r="B62" t="str">
            <v>Suwannee</v>
          </cell>
          <cell r="C62" t="str">
            <v>substantial</v>
          </cell>
          <cell r="D62">
            <v>44306</v>
          </cell>
          <cell r="E62">
            <v>76.55</v>
          </cell>
          <cell r="F62">
            <v>7342</v>
          </cell>
          <cell r="G62">
            <v>0.16500000000000001</v>
          </cell>
          <cell r="H62">
            <v>7340</v>
          </cell>
          <cell r="I62">
            <v>0.20899999999999999</v>
          </cell>
          <cell r="J62">
            <v>5200</v>
          </cell>
          <cell r="K62">
            <v>0.53900000000000003</v>
          </cell>
          <cell r="L62">
            <v>44417</v>
          </cell>
          <cell r="M62">
            <v>64.510000000000005</v>
          </cell>
          <cell r="N62">
            <v>2.81</v>
          </cell>
          <cell r="O62">
            <v>13.9</v>
          </cell>
          <cell r="P62">
            <v>17.8</v>
          </cell>
          <cell r="Q62">
            <v>21.73</v>
          </cell>
        </row>
        <row r="63">
          <cell r="A63">
            <v>62</v>
          </cell>
          <cell r="B63" t="str">
            <v>Taylor</v>
          </cell>
          <cell r="C63" t="str">
            <v>moderate</v>
          </cell>
          <cell r="D63">
            <v>44306</v>
          </cell>
          <cell r="E63" t="str">
            <v>suppressed</v>
          </cell>
          <cell r="F63">
            <v>3337</v>
          </cell>
          <cell r="G63">
            <v>0.155</v>
          </cell>
          <cell r="H63">
            <v>3335</v>
          </cell>
          <cell r="I63">
            <v>0.193</v>
          </cell>
          <cell r="J63">
            <v>2292</v>
          </cell>
          <cell r="K63">
            <v>0.50700000000000001</v>
          </cell>
          <cell r="L63">
            <v>21569</v>
          </cell>
          <cell r="M63">
            <v>20.67</v>
          </cell>
          <cell r="N63">
            <v>2.4700000000000002</v>
          </cell>
          <cell r="O63">
            <v>10.9</v>
          </cell>
          <cell r="P63">
            <v>19.8</v>
          </cell>
          <cell r="Q63">
            <v>20.98</v>
          </cell>
        </row>
        <row r="64">
          <cell r="A64">
            <v>63</v>
          </cell>
          <cell r="B64" t="str">
            <v>Union</v>
          </cell>
          <cell r="C64" t="str">
            <v>substantial</v>
          </cell>
          <cell r="D64">
            <v>44306</v>
          </cell>
          <cell r="E64">
            <v>85.32</v>
          </cell>
          <cell r="F64">
            <v>1687</v>
          </cell>
          <cell r="G64">
            <v>0.111</v>
          </cell>
          <cell r="H64">
            <v>1687</v>
          </cell>
          <cell r="I64">
            <v>0.13800000000000001</v>
          </cell>
          <cell r="J64">
            <v>1110</v>
          </cell>
          <cell r="K64">
            <v>0.47899999999999998</v>
          </cell>
          <cell r="L64">
            <v>15237</v>
          </cell>
          <cell r="M64">
            <v>62.56</v>
          </cell>
          <cell r="N64">
            <v>2.5</v>
          </cell>
          <cell r="O64">
            <v>12.4</v>
          </cell>
          <cell r="P64">
            <v>22</v>
          </cell>
          <cell r="Q64">
            <v>15.21</v>
          </cell>
        </row>
        <row r="65">
          <cell r="A65">
            <v>64</v>
          </cell>
          <cell r="B65" t="str">
            <v>Volusia</v>
          </cell>
          <cell r="C65" t="str">
            <v>high</v>
          </cell>
          <cell r="D65">
            <v>44306</v>
          </cell>
          <cell r="E65">
            <v>215.08</v>
          </cell>
          <cell r="F65">
            <v>132338</v>
          </cell>
          <cell r="G65">
            <v>0.23899999999999999</v>
          </cell>
          <cell r="H65">
            <v>132287</v>
          </cell>
          <cell r="I65">
            <v>0.28999999999999998</v>
          </cell>
          <cell r="J65">
            <v>89226</v>
          </cell>
          <cell r="K65">
            <v>0.64700000000000002</v>
          </cell>
          <cell r="L65">
            <v>553284</v>
          </cell>
          <cell r="M65">
            <v>502.42</v>
          </cell>
          <cell r="N65">
            <v>2.4300000000000002</v>
          </cell>
          <cell r="O65">
            <v>12.5</v>
          </cell>
          <cell r="P65">
            <v>15.2</v>
          </cell>
          <cell r="Q65">
            <v>24.91</v>
          </cell>
        </row>
        <row r="66">
          <cell r="A66">
            <v>65</v>
          </cell>
          <cell r="B66" t="str">
            <v>Wakulla</v>
          </cell>
          <cell r="C66" t="str">
            <v>high</v>
          </cell>
          <cell r="D66">
            <v>44306</v>
          </cell>
          <cell r="E66">
            <v>157.09</v>
          </cell>
          <cell r="F66">
            <v>6494</v>
          </cell>
          <cell r="G66">
            <v>0.192</v>
          </cell>
          <cell r="H66">
            <v>6489</v>
          </cell>
          <cell r="I66">
            <v>0.24299999999999999</v>
          </cell>
          <cell r="J66">
            <v>3880</v>
          </cell>
          <cell r="K66">
            <v>0.72299999999999998</v>
          </cell>
          <cell r="L66">
            <v>33739</v>
          </cell>
          <cell r="M66">
            <v>55.64</v>
          </cell>
          <cell r="N66">
            <v>2.56</v>
          </cell>
          <cell r="O66">
            <v>9</v>
          </cell>
          <cell r="P66">
            <v>11.5</v>
          </cell>
          <cell r="Q66">
            <v>15.9</v>
          </cell>
        </row>
        <row r="67">
          <cell r="A67">
            <v>66</v>
          </cell>
          <cell r="B67" t="str">
            <v>Walton</v>
          </cell>
          <cell r="C67" t="str">
            <v>high</v>
          </cell>
          <cell r="D67">
            <v>44306</v>
          </cell>
          <cell r="E67">
            <v>132.31</v>
          </cell>
          <cell r="F67">
            <v>14279</v>
          </cell>
          <cell r="G67">
            <v>0.193</v>
          </cell>
          <cell r="H67">
            <v>14275</v>
          </cell>
          <cell r="I67">
            <v>0.24199999999999999</v>
          </cell>
          <cell r="J67">
            <v>8950</v>
          </cell>
          <cell r="K67">
            <v>0.59799999999999998</v>
          </cell>
          <cell r="L67">
            <v>74071</v>
          </cell>
          <cell r="M67">
            <v>71.38</v>
          </cell>
          <cell r="N67">
            <v>2.42</v>
          </cell>
          <cell r="O67">
            <v>13.5</v>
          </cell>
          <cell r="P67">
            <v>14.7</v>
          </cell>
          <cell r="Q67">
            <v>20.22</v>
          </cell>
        </row>
        <row r="68">
          <cell r="A68">
            <v>67</v>
          </cell>
          <cell r="B68" t="str">
            <v>Washington</v>
          </cell>
          <cell r="C68" t="str">
            <v>moderate</v>
          </cell>
          <cell r="D68">
            <v>44306</v>
          </cell>
          <cell r="E68" t="str">
            <v>suppressed</v>
          </cell>
          <cell r="F68">
            <v>3152</v>
          </cell>
          <cell r="G68">
            <v>0.124</v>
          </cell>
          <cell r="H68">
            <v>3149</v>
          </cell>
          <cell r="I68">
            <v>0.154</v>
          </cell>
          <cell r="J68">
            <v>2007</v>
          </cell>
          <cell r="K68">
            <v>0.45800000000000002</v>
          </cell>
          <cell r="L68">
            <v>25473</v>
          </cell>
          <cell r="M68">
            <v>43.57</v>
          </cell>
          <cell r="N68">
            <v>2.57</v>
          </cell>
          <cell r="O68">
            <v>12.8</v>
          </cell>
          <cell r="P68">
            <v>22.4</v>
          </cell>
          <cell r="Q68">
            <v>17.2</v>
          </cell>
        </row>
      </sheetData>
      <sheetData sheetId="12">
        <row r="1">
          <cell r="B1" t="str">
            <v>County</v>
          </cell>
          <cell r="C1" t="str">
            <v>Level_Of_Transmission</v>
          </cell>
          <cell r="D1" t="str">
            <v>Date_Updated</v>
          </cell>
          <cell r="E1" t="str">
            <v>Infection_Rate</v>
          </cell>
          <cell r="F1" t="str">
            <v>Vaccinated</v>
          </cell>
          <cell r="G1" t="str">
            <v>Vaccinated_Percent</v>
          </cell>
          <cell r="H1" t="str">
            <v>Over_18_Vacc</v>
          </cell>
          <cell r="I1" t="str">
            <v>Over_18_Vacc_Percent</v>
          </cell>
          <cell r="J1" t="str">
            <v>Over_65_Vacc</v>
          </cell>
          <cell r="K1" t="str">
            <v>Over_65_Vacc_Percent</v>
          </cell>
          <cell r="L1" t="str">
            <v>Total_Population</v>
          </cell>
          <cell r="M1" t="str">
            <v>Population_Density</v>
          </cell>
          <cell r="N1" t="str">
            <v>Avg_HH_Size</v>
          </cell>
          <cell r="O1" t="str">
            <v>Percent_Uninsured</v>
          </cell>
          <cell r="P1" t="str">
            <v>Poverty Rate</v>
          </cell>
          <cell r="Q1" t="str">
            <v>Over_65</v>
          </cell>
        </row>
        <row r="2">
          <cell r="A2">
            <v>1</v>
          </cell>
          <cell r="B2" t="str">
            <v>Alachua</v>
          </cell>
          <cell r="C2" t="str">
            <v>high</v>
          </cell>
          <cell r="D2">
            <v>44307</v>
          </cell>
          <cell r="E2">
            <v>110.39</v>
          </cell>
          <cell r="F2">
            <v>76109</v>
          </cell>
          <cell r="G2">
            <v>0.28299999999999997</v>
          </cell>
          <cell r="H2">
            <v>76035</v>
          </cell>
          <cell r="I2">
            <v>0.34399999999999997</v>
          </cell>
          <cell r="J2">
            <v>31409</v>
          </cell>
          <cell r="K2">
            <v>0.8</v>
          </cell>
          <cell r="L2">
            <v>269043</v>
          </cell>
          <cell r="M2">
            <v>307.29000000000002</v>
          </cell>
          <cell r="N2">
            <v>2.54</v>
          </cell>
          <cell r="O2">
            <v>9.1999999999999993</v>
          </cell>
          <cell r="P2">
            <v>21.8</v>
          </cell>
          <cell r="Q2">
            <v>14.6</v>
          </cell>
        </row>
        <row r="3">
          <cell r="A3">
            <v>2</v>
          </cell>
          <cell r="B3" t="str">
            <v>Baker</v>
          </cell>
          <cell r="C3" t="str">
            <v>high</v>
          </cell>
          <cell r="D3">
            <v>44307</v>
          </cell>
          <cell r="E3">
            <v>123.25</v>
          </cell>
          <cell r="F3">
            <v>3570</v>
          </cell>
          <cell r="G3">
            <v>0.122</v>
          </cell>
          <cell r="H3">
            <v>3570</v>
          </cell>
          <cell r="I3">
            <v>0.161</v>
          </cell>
          <cell r="J3">
            <v>2204</v>
          </cell>
          <cell r="K3">
            <v>0.53500000000000003</v>
          </cell>
          <cell r="L3">
            <v>29210</v>
          </cell>
          <cell r="M3">
            <v>49.91</v>
          </cell>
          <cell r="N3">
            <v>2.92</v>
          </cell>
          <cell r="O3">
            <v>12.5</v>
          </cell>
          <cell r="P3">
            <v>14.6</v>
          </cell>
          <cell r="Q3">
            <v>14.09</v>
          </cell>
        </row>
        <row r="4">
          <cell r="A4">
            <v>3</v>
          </cell>
          <cell r="B4" t="str">
            <v>Bay</v>
          </cell>
          <cell r="C4" t="str">
            <v>substantial</v>
          </cell>
          <cell r="D4">
            <v>44307</v>
          </cell>
          <cell r="E4">
            <v>93.3</v>
          </cell>
          <cell r="F4">
            <v>36807</v>
          </cell>
          <cell r="G4">
            <v>0.21099999999999999</v>
          </cell>
          <cell r="H4">
            <v>36785</v>
          </cell>
          <cell r="I4">
            <v>0.26500000000000001</v>
          </cell>
          <cell r="J4">
            <v>19130</v>
          </cell>
          <cell r="K4">
            <v>0.58799999999999997</v>
          </cell>
          <cell r="L4">
            <v>174705</v>
          </cell>
          <cell r="M4">
            <v>230.3</v>
          </cell>
          <cell r="N4">
            <v>2.57</v>
          </cell>
          <cell r="O4">
            <v>14.2</v>
          </cell>
          <cell r="P4">
            <v>14.7</v>
          </cell>
          <cell r="Q4">
            <v>18.62</v>
          </cell>
        </row>
        <row r="5">
          <cell r="A5">
            <v>4</v>
          </cell>
          <cell r="B5" t="str">
            <v>Bradford</v>
          </cell>
          <cell r="C5" t="str">
            <v>moderate</v>
          </cell>
          <cell r="D5">
            <v>44307</v>
          </cell>
          <cell r="E5">
            <v>49.64</v>
          </cell>
          <cell r="F5">
            <v>3920</v>
          </cell>
          <cell r="G5">
            <v>0.13900000000000001</v>
          </cell>
          <cell r="H5">
            <v>3920</v>
          </cell>
          <cell r="I5">
            <v>0.17199999999999999</v>
          </cell>
          <cell r="J5">
            <v>2544</v>
          </cell>
          <cell r="K5">
            <v>0.502</v>
          </cell>
          <cell r="L5">
            <v>28201</v>
          </cell>
          <cell r="M5">
            <v>95.93</v>
          </cell>
          <cell r="N5">
            <v>2.6</v>
          </cell>
          <cell r="O5">
            <v>12.4</v>
          </cell>
          <cell r="P5">
            <v>20.3</v>
          </cell>
          <cell r="Q5">
            <v>17.96</v>
          </cell>
        </row>
        <row r="6">
          <cell r="A6">
            <v>5</v>
          </cell>
          <cell r="B6" t="str">
            <v>Brevard</v>
          </cell>
          <cell r="C6" t="str">
            <v>high</v>
          </cell>
          <cell r="D6">
            <v>44307</v>
          </cell>
          <cell r="E6">
            <v>152.34</v>
          </cell>
          <cell r="F6">
            <v>148333</v>
          </cell>
          <cell r="G6">
            <v>0.246</v>
          </cell>
          <cell r="H6">
            <v>148253</v>
          </cell>
          <cell r="I6">
            <v>0.30099999999999999</v>
          </cell>
          <cell r="J6">
            <v>91730</v>
          </cell>
          <cell r="K6">
            <v>0.629</v>
          </cell>
          <cell r="L6">
            <v>601942</v>
          </cell>
          <cell r="M6">
            <v>593.05999999999995</v>
          </cell>
          <cell r="N6">
            <v>2.4900000000000002</v>
          </cell>
          <cell r="O6">
            <v>10.8</v>
          </cell>
          <cell r="P6">
            <v>12.7</v>
          </cell>
          <cell r="Q6">
            <v>24.21</v>
          </cell>
        </row>
        <row r="7">
          <cell r="A7">
            <v>6</v>
          </cell>
          <cell r="B7" t="str">
            <v>Broward</v>
          </cell>
          <cell r="C7" t="str">
            <v>high</v>
          </cell>
          <cell r="D7">
            <v>44307</v>
          </cell>
          <cell r="E7">
            <v>292.76</v>
          </cell>
          <cell r="F7">
            <v>471059</v>
          </cell>
          <cell r="G7">
            <v>0.24099999999999999</v>
          </cell>
          <cell r="H7">
            <v>470106</v>
          </cell>
          <cell r="I7">
            <v>0.30499999999999999</v>
          </cell>
          <cell r="J7">
            <v>219106</v>
          </cell>
          <cell r="K7">
            <v>0.65500000000000003</v>
          </cell>
          <cell r="L7">
            <v>1952778</v>
          </cell>
          <cell r="M7">
            <v>1623.5</v>
          </cell>
          <cell r="N7">
            <v>2.77</v>
          </cell>
          <cell r="O7">
            <v>14.6</v>
          </cell>
          <cell r="P7">
            <v>13.5</v>
          </cell>
          <cell r="Q7">
            <v>17.13</v>
          </cell>
        </row>
        <row r="8">
          <cell r="A8">
            <v>7</v>
          </cell>
          <cell r="B8" t="str">
            <v>Calhoun</v>
          </cell>
          <cell r="C8" t="str">
            <v>moderate</v>
          </cell>
          <cell r="D8">
            <v>44307</v>
          </cell>
          <cell r="E8" t="str">
            <v>suppressed</v>
          </cell>
          <cell r="F8">
            <v>2105</v>
          </cell>
          <cell r="G8">
            <v>0.14899999999999999</v>
          </cell>
          <cell r="H8">
            <v>2105</v>
          </cell>
          <cell r="I8">
            <v>0.186</v>
          </cell>
          <cell r="J8">
            <v>1396</v>
          </cell>
          <cell r="K8">
            <v>0.52300000000000002</v>
          </cell>
          <cell r="L8">
            <v>14105</v>
          </cell>
          <cell r="M8">
            <v>24.86</v>
          </cell>
          <cell r="N8">
            <v>2.73</v>
          </cell>
          <cell r="O8">
            <v>18.3</v>
          </cell>
          <cell r="P8">
            <v>12.2</v>
          </cell>
          <cell r="Q8">
            <v>18.93</v>
          </cell>
        </row>
        <row r="9">
          <cell r="A9">
            <v>8</v>
          </cell>
          <cell r="B9" t="str">
            <v>Charlotte</v>
          </cell>
          <cell r="C9" t="str">
            <v>high</v>
          </cell>
          <cell r="D9">
            <v>44307</v>
          </cell>
          <cell r="E9">
            <v>144.51</v>
          </cell>
          <cell r="F9">
            <v>64987</v>
          </cell>
          <cell r="G9">
            <v>0.34399999999999997</v>
          </cell>
          <cell r="H9">
            <v>64959</v>
          </cell>
          <cell r="I9">
            <v>0.39</v>
          </cell>
          <cell r="J9">
            <v>51461</v>
          </cell>
          <cell r="K9">
            <v>0.66800000000000004</v>
          </cell>
          <cell r="L9">
            <v>188910</v>
          </cell>
          <cell r="M9">
            <v>277.36</v>
          </cell>
          <cell r="N9">
            <v>2.2799999999999998</v>
          </cell>
          <cell r="O9">
            <v>11.3</v>
          </cell>
          <cell r="P9">
            <v>11.1</v>
          </cell>
          <cell r="Q9">
            <v>40.799999999999997</v>
          </cell>
        </row>
        <row r="10">
          <cell r="A10">
            <v>9</v>
          </cell>
          <cell r="B10" t="str">
            <v>Citrus</v>
          </cell>
          <cell r="C10" t="str">
            <v>high</v>
          </cell>
          <cell r="D10">
            <v>44307</v>
          </cell>
          <cell r="E10">
            <v>118.94</v>
          </cell>
          <cell r="F10">
            <v>41769</v>
          </cell>
          <cell r="G10">
            <v>0.27900000000000003</v>
          </cell>
          <cell r="H10">
            <v>41762</v>
          </cell>
          <cell r="I10">
            <v>0.32700000000000001</v>
          </cell>
          <cell r="J10">
            <v>33364</v>
          </cell>
          <cell r="K10">
            <v>0.60699999999999998</v>
          </cell>
          <cell r="L10">
            <v>149657</v>
          </cell>
          <cell r="M10">
            <v>257.18</v>
          </cell>
          <cell r="N10">
            <v>2.2400000000000002</v>
          </cell>
          <cell r="O10">
            <v>10.4</v>
          </cell>
          <cell r="P10">
            <v>16.7</v>
          </cell>
          <cell r="Q10">
            <v>36.71</v>
          </cell>
        </row>
        <row r="11">
          <cell r="A11">
            <v>10</v>
          </cell>
          <cell r="B11" t="str">
            <v>Clay</v>
          </cell>
          <cell r="C11" t="str">
            <v>high</v>
          </cell>
          <cell r="D11">
            <v>44307</v>
          </cell>
          <cell r="E11">
            <v>151.88</v>
          </cell>
          <cell r="F11">
            <v>39674</v>
          </cell>
          <cell r="G11">
            <v>0.18099999999999999</v>
          </cell>
          <cell r="H11">
            <v>39637</v>
          </cell>
          <cell r="I11">
            <v>0.23499999999999999</v>
          </cell>
          <cell r="J11">
            <v>20639</v>
          </cell>
          <cell r="K11">
            <v>0.57599999999999996</v>
          </cell>
          <cell r="L11">
            <v>219252</v>
          </cell>
          <cell r="M11">
            <v>362.63</v>
          </cell>
          <cell r="N11">
            <v>2.81</v>
          </cell>
          <cell r="O11">
            <v>10.4</v>
          </cell>
          <cell r="P11">
            <v>10.6</v>
          </cell>
          <cell r="Q11">
            <v>16.350000000000001</v>
          </cell>
        </row>
        <row r="12">
          <cell r="A12">
            <v>11</v>
          </cell>
          <cell r="B12" t="str">
            <v>Collier</v>
          </cell>
          <cell r="C12" t="str">
            <v>high</v>
          </cell>
          <cell r="D12">
            <v>44307</v>
          </cell>
          <cell r="E12">
            <v>186.02</v>
          </cell>
          <cell r="F12">
            <v>120574</v>
          </cell>
          <cell r="G12">
            <v>0.313</v>
          </cell>
          <cell r="H12">
            <v>120535</v>
          </cell>
          <cell r="I12">
            <v>0.376</v>
          </cell>
          <cell r="J12">
            <v>91306</v>
          </cell>
          <cell r="K12">
            <v>0.72099999999999997</v>
          </cell>
          <cell r="L12">
            <v>384902</v>
          </cell>
          <cell r="M12">
            <v>192.75</v>
          </cell>
          <cell r="N12">
            <v>2.5499999999999998</v>
          </cell>
          <cell r="O12">
            <v>16.5</v>
          </cell>
          <cell r="P12">
            <v>12.3</v>
          </cell>
          <cell r="Q12">
            <v>32.92</v>
          </cell>
        </row>
        <row r="13">
          <cell r="A13">
            <v>12</v>
          </cell>
          <cell r="B13" t="str">
            <v>Columbia</v>
          </cell>
          <cell r="C13" t="str">
            <v>substantial</v>
          </cell>
          <cell r="D13">
            <v>44307</v>
          </cell>
          <cell r="E13">
            <v>80.91</v>
          </cell>
          <cell r="F13">
            <v>12449</v>
          </cell>
          <cell r="G13">
            <v>0.17399999999999999</v>
          </cell>
          <cell r="H13">
            <v>12446</v>
          </cell>
          <cell r="I13">
            <v>0.221</v>
          </cell>
          <cell r="J13">
            <v>7727</v>
          </cell>
          <cell r="K13">
            <v>0.56000000000000005</v>
          </cell>
          <cell r="L13">
            <v>71686</v>
          </cell>
          <cell r="M13">
            <v>89.88</v>
          </cell>
          <cell r="N13">
            <v>2.57</v>
          </cell>
          <cell r="O13">
            <v>12.4</v>
          </cell>
          <cell r="P13">
            <v>17.399999999999999</v>
          </cell>
          <cell r="Q13">
            <v>19.260000000000002</v>
          </cell>
        </row>
        <row r="14">
          <cell r="A14">
            <v>13</v>
          </cell>
          <cell r="B14" t="str">
            <v>DeSoto</v>
          </cell>
          <cell r="C14" t="str">
            <v>high</v>
          </cell>
          <cell r="D14">
            <v>44307</v>
          </cell>
          <cell r="E14">
            <v>155.26</v>
          </cell>
          <cell r="F14">
            <v>6185</v>
          </cell>
          <cell r="G14">
            <v>0.16300000000000001</v>
          </cell>
          <cell r="H14">
            <v>6185</v>
          </cell>
          <cell r="I14">
            <v>0.2</v>
          </cell>
          <cell r="J14">
            <v>4567</v>
          </cell>
          <cell r="K14">
            <v>0.53400000000000003</v>
          </cell>
          <cell r="L14">
            <v>38001</v>
          </cell>
          <cell r="M14">
            <v>59.68</v>
          </cell>
          <cell r="N14">
            <v>2.74</v>
          </cell>
          <cell r="O14">
            <v>18.399999999999999</v>
          </cell>
          <cell r="P14">
            <v>28.5</v>
          </cell>
          <cell r="Q14">
            <v>22.52</v>
          </cell>
        </row>
        <row r="15">
          <cell r="A15">
            <v>14</v>
          </cell>
          <cell r="B15" t="str">
            <v>Dixie</v>
          </cell>
          <cell r="C15" t="str">
            <v>substantial</v>
          </cell>
          <cell r="D15">
            <v>44307</v>
          </cell>
          <cell r="E15">
            <v>71.319999999999993</v>
          </cell>
          <cell r="F15">
            <v>2521</v>
          </cell>
          <cell r="G15">
            <v>0.15</v>
          </cell>
          <cell r="H15">
            <v>2521</v>
          </cell>
          <cell r="I15">
            <v>0.183</v>
          </cell>
          <cell r="J15">
            <v>1884</v>
          </cell>
          <cell r="K15">
            <v>0.47299999999999998</v>
          </cell>
          <cell r="L15">
            <v>16826</v>
          </cell>
          <cell r="M15">
            <v>23.86</v>
          </cell>
          <cell r="N15">
            <v>2.2799999999999998</v>
          </cell>
          <cell r="O15">
            <v>17.2</v>
          </cell>
          <cell r="P15">
            <v>23.1</v>
          </cell>
          <cell r="Q15">
            <v>23.68</v>
          </cell>
        </row>
        <row r="16">
          <cell r="A16">
            <v>15</v>
          </cell>
          <cell r="B16" t="str">
            <v>Duval</v>
          </cell>
          <cell r="C16" t="str">
            <v>high</v>
          </cell>
          <cell r="D16">
            <v>44307</v>
          </cell>
          <cell r="E16">
            <v>129.68</v>
          </cell>
          <cell r="F16">
            <v>230613</v>
          </cell>
          <cell r="G16">
            <v>0.24099999999999999</v>
          </cell>
          <cell r="H16">
            <v>230360</v>
          </cell>
          <cell r="I16">
            <v>0.31</v>
          </cell>
          <cell r="J16">
            <v>97533</v>
          </cell>
          <cell r="K16">
            <v>0.70399999999999996</v>
          </cell>
          <cell r="L16">
            <v>957755</v>
          </cell>
          <cell r="M16">
            <v>1255.8599999999999</v>
          </cell>
          <cell r="N16">
            <v>2.5499999999999998</v>
          </cell>
          <cell r="O16">
            <v>12</v>
          </cell>
          <cell r="P16">
            <v>15.5</v>
          </cell>
          <cell r="Q16">
            <v>14.47</v>
          </cell>
        </row>
        <row r="17">
          <cell r="A17">
            <v>16</v>
          </cell>
          <cell r="B17" t="str">
            <v>Escambia</v>
          </cell>
          <cell r="C17" t="str">
            <v>substantial</v>
          </cell>
          <cell r="D17">
            <v>44307</v>
          </cell>
          <cell r="E17">
            <v>84.82</v>
          </cell>
          <cell r="F17">
            <v>69855</v>
          </cell>
          <cell r="G17">
            <v>0.219</v>
          </cell>
          <cell r="H17">
            <v>69816</v>
          </cell>
          <cell r="I17">
            <v>0.27700000000000002</v>
          </cell>
          <cell r="J17">
            <v>35597</v>
          </cell>
          <cell r="K17">
            <v>0.65200000000000002</v>
          </cell>
          <cell r="L17">
            <v>318316</v>
          </cell>
          <cell r="M17">
            <v>484.52</v>
          </cell>
          <cell r="N17">
            <v>2.4700000000000002</v>
          </cell>
          <cell r="O17">
            <v>10.199999999999999</v>
          </cell>
          <cell r="P17">
            <v>13.9</v>
          </cell>
          <cell r="Q17">
            <v>17.14</v>
          </cell>
        </row>
        <row r="18">
          <cell r="A18">
            <v>17</v>
          </cell>
          <cell r="B18" t="str">
            <v>Flagler</v>
          </cell>
          <cell r="C18" t="str">
            <v>high</v>
          </cell>
          <cell r="D18">
            <v>44307</v>
          </cell>
          <cell r="E18">
            <v>126</v>
          </cell>
          <cell r="F18">
            <v>34245</v>
          </cell>
          <cell r="G18">
            <v>0.29799999999999999</v>
          </cell>
          <cell r="H18">
            <v>34235</v>
          </cell>
          <cell r="I18">
            <v>0.35699999999999998</v>
          </cell>
          <cell r="J18">
            <v>24917</v>
          </cell>
          <cell r="K18">
            <v>0.69399999999999995</v>
          </cell>
          <cell r="L18">
            <v>115081</v>
          </cell>
          <cell r="M18">
            <v>237.21</v>
          </cell>
          <cell r="N18">
            <v>2.62</v>
          </cell>
          <cell r="O18">
            <v>12.7</v>
          </cell>
          <cell r="P18">
            <v>11.9</v>
          </cell>
          <cell r="Q18">
            <v>31.19</v>
          </cell>
        </row>
        <row r="19">
          <cell r="A19">
            <v>18</v>
          </cell>
          <cell r="B19" t="str">
            <v>Franklin</v>
          </cell>
          <cell r="C19" t="str">
            <v>substantial</v>
          </cell>
          <cell r="D19">
            <v>44307</v>
          </cell>
          <cell r="E19" t="str">
            <v>suppressed</v>
          </cell>
          <cell r="F19">
            <v>2982</v>
          </cell>
          <cell r="G19">
            <v>0.246</v>
          </cell>
          <cell r="H19">
            <v>2982</v>
          </cell>
          <cell r="I19">
            <v>0.29099999999999998</v>
          </cell>
          <cell r="J19">
            <v>2065</v>
          </cell>
          <cell r="K19">
            <v>0.70599999999999996</v>
          </cell>
          <cell r="L19">
            <v>12125</v>
          </cell>
          <cell r="M19">
            <v>22.24</v>
          </cell>
          <cell r="N19">
            <v>2.35</v>
          </cell>
          <cell r="O19">
            <v>18.3</v>
          </cell>
          <cell r="P19">
            <v>20.7</v>
          </cell>
          <cell r="Q19">
            <v>24.13</v>
          </cell>
        </row>
        <row r="20">
          <cell r="A20">
            <v>19</v>
          </cell>
          <cell r="B20" t="str">
            <v>Gadsden</v>
          </cell>
          <cell r="C20" t="str">
            <v>substantial</v>
          </cell>
          <cell r="D20">
            <v>44307</v>
          </cell>
          <cell r="E20">
            <v>70.08</v>
          </cell>
          <cell r="F20">
            <v>11618</v>
          </cell>
          <cell r="G20">
            <v>0.254</v>
          </cell>
          <cell r="H20">
            <v>11611</v>
          </cell>
          <cell r="I20">
            <v>0.32400000000000001</v>
          </cell>
          <cell r="J20">
            <v>5984</v>
          </cell>
          <cell r="K20">
            <v>0.70099999999999996</v>
          </cell>
          <cell r="L20">
            <v>45660</v>
          </cell>
          <cell r="M20">
            <v>88.44</v>
          </cell>
          <cell r="N20">
            <v>2.4700000000000002</v>
          </cell>
          <cell r="O20">
            <v>14.9</v>
          </cell>
          <cell r="P20">
            <v>24.6</v>
          </cell>
          <cell r="Q20">
            <v>18.7</v>
          </cell>
        </row>
        <row r="21">
          <cell r="A21">
            <v>20</v>
          </cell>
          <cell r="B21" t="str">
            <v>Gilchrist</v>
          </cell>
          <cell r="C21" t="str">
            <v>high</v>
          </cell>
          <cell r="D21">
            <v>44307</v>
          </cell>
          <cell r="E21">
            <v>161.44999999999999</v>
          </cell>
          <cell r="F21">
            <v>2805</v>
          </cell>
          <cell r="G21">
            <v>0.151</v>
          </cell>
          <cell r="H21">
            <v>2803</v>
          </cell>
          <cell r="I21">
            <v>0.188</v>
          </cell>
          <cell r="J21">
            <v>1843</v>
          </cell>
          <cell r="K21">
            <v>0.48</v>
          </cell>
          <cell r="L21">
            <v>18582</v>
          </cell>
          <cell r="M21">
            <v>53.14</v>
          </cell>
          <cell r="N21">
            <v>2.5</v>
          </cell>
          <cell r="O21">
            <v>18.100000000000001</v>
          </cell>
          <cell r="P21">
            <v>17.899999999999999</v>
          </cell>
          <cell r="Q21">
            <v>20.65</v>
          </cell>
        </row>
        <row r="22">
          <cell r="A22">
            <v>21</v>
          </cell>
          <cell r="B22" t="str">
            <v>Glades</v>
          </cell>
          <cell r="C22" t="str">
            <v>substantial</v>
          </cell>
          <cell r="D22">
            <v>44307</v>
          </cell>
          <cell r="E22" t="str">
            <v>suppressed</v>
          </cell>
          <cell r="F22">
            <v>1901</v>
          </cell>
          <cell r="G22">
            <v>0.13800000000000001</v>
          </cell>
          <cell r="H22">
            <v>1901</v>
          </cell>
          <cell r="I22">
            <v>0.161</v>
          </cell>
          <cell r="J22">
            <v>1355</v>
          </cell>
          <cell r="K22">
            <v>0.35599999999999998</v>
          </cell>
          <cell r="L22">
            <v>13811</v>
          </cell>
          <cell r="M22">
            <v>17.12</v>
          </cell>
          <cell r="N22">
            <v>2.71</v>
          </cell>
          <cell r="O22">
            <v>19.899999999999999</v>
          </cell>
          <cell r="P22">
            <v>17</v>
          </cell>
          <cell r="Q22">
            <v>27.57</v>
          </cell>
        </row>
        <row r="23">
          <cell r="A23">
            <v>22</v>
          </cell>
          <cell r="B23" t="str">
            <v>Gulf</v>
          </cell>
          <cell r="C23" t="str">
            <v>moderate</v>
          </cell>
          <cell r="D23">
            <v>44307</v>
          </cell>
          <cell r="E23" t="str">
            <v>suppressed</v>
          </cell>
          <cell r="F23">
            <v>3176</v>
          </cell>
          <cell r="G23">
            <v>0.23300000000000001</v>
          </cell>
          <cell r="H23">
            <v>3176</v>
          </cell>
          <cell r="I23">
            <v>0.28499999999999998</v>
          </cell>
          <cell r="J23">
            <v>2311</v>
          </cell>
          <cell r="K23">
            <v>0.63900000000000001</v>
          </cell>
          <cell r="L23">
            <v>13639</v>
          </cell>
          <cell r="M23">
            <v>24.64</v>
          </cell>
          <cell r="N23">
            <v>2.5499999999999998</v>
          </cell>
          <cell r="O23">
            <v>11.4</v>
          </cell>
          <cell r="P23">
            <v>13.9</v>
          </cell>
          <cell r="Q23">
            <v>26.5</v>
          </cell>
        </row>
        <row r="24">
          <cell r="A24">
            <v>23</v>
          </cell>
          <cell r="B24" t="str">
            <v>Hamilton</v>
          </cell>
          <cell r="C24" t="str">
            <v>substantial</v>
          </cell>
          <cell r="D24">
            <v>44307</v>
          </cell>
          <cell r="E24">
            <v>76.239999999999995</v>
          </cell>
          <cell r="F24">
            <v>2284</v>
          </cell>
          <cell r="G24">
            <v>0.158</v>
          </cell>
          <cell r="H24">
            <v>2284</v>
          </cell>
          <cell r="I24">
            <v>0.19500000000000001</v>
          </cell>
          <cell r="J24">
            <v>1507</v>
          </cell>
          <cell r="K24">
            <v>0.56599999999999995</v>
          </cell>
          <cell r="L24">
            <v>14428</v>
          </cell>
          <cell r="M24">
            <v>28.08</v>
          </cell>
          <cell r="N24">
            <v>2.44</v>
          </cell>
          <cell r="O24">
            <v>14.3</v>
          </cell>
          <cell r="P24">
            <v>29.5</v>
          </cell>
          <cell r="Q24">
            <v>18.46</v>
          </cell>
        </row>
        <row r="25">
          <cell r="A25">
            <v>24</v>
          </cell>
          <cell r="B25" t="str">
            <v>Hardee</v>
          </cell>
          <cell r="C25" t="str">
            <v>high</v>
          </cell>
          <cell r="D25">
            <v>44307</v>
          </cell>
          <cell r="E25">
            <v>185.62</v>
          </cell>
          <cell r="F25">
            <v>3258</v>
          </cell>
          <cell r="G25">
            <v>0.121</v>
          </cell>
          <cell r="H25">
            <v>3257</v>
          </cell>
          <cell r="I25">
            <v>0.16200000000000001</v>
          </cell>
          <cell r="J25">
            <v>2376</v>
          </cell>
          <cell r="K25">
            <v>0.50600000000000001</v>
          </cell>
          <cell r="L25">
            <v>26937</v>
          </cell>
          <cell r="M25">
            <v>42.25</v>
          </cell>
          <cell r="N25">
            <v>3.22</v>
          </cell>
          <cell r="O25">
            <v>12.2</v>
          </cell>
          <cell r="P25">
            <v>26.7</v>
          </cell>
          <cell r="Q25">
            <v>17.43</v>
          </cell>
        </row>
        <row r="26">
          <cell r="A26">
            <v>25</v>
          </cell>
          <cell r="B26" t="str">
            <v>Hendry</v>
          </cell>
          <cell r="C26" t="str">
            <v>high</v>
          </cell>
          <cell r="D26">
            <v>44307</v>
          </cell>
          <cell r="E26">
            <v>116.61</v>
          </cell>
          <cell r="F26">
            <v>6444</v>
          </cell>
          <cell r="G26">
            <v>0.153</v>
          </cell>
          <cell r="H26">
            <v>6441</v>
          </cell>
          <cell r="I26">
            <v>0.20899999999999999</v>
          </cell>
          <cell r="J26">
            <v>3615</v>
          </cell>
          <cell r="K26">
            <v>0.626</v>
          </cell>
          <cell r="L26">
            <v>42022</v>
          </cell>
          <cell r="M26">
            <v>36.340000000000003</v>
          </cell>
          <cell r="N26">
            <v>3.17</v>
          </cell>
          <cell r="O26">
            <v>26.2</v>
          </cell>
          <cell r="P26">
            <v>26.8</v>
          </cell>
          <cell r="Q26">
            <v>13.75</v>
          </cell>
        </row>
        <row r="27">
          <cell r="A27">
            <v>26</v>
          </cell>
          <cell r="B27" t="str">
            <v>Hernando</v>
          </cell>
          <cell r="C27" t="str">
            <v>high</v>
          </cell>
          <cell r="D27">
            <v>44307</v>
          </cell>
          <cell r="E27">
            <v>199.57</v>
          </cell>
          <cell r="F27">
            <v>44629</v>
          </cell>
          <cell r="G27">
            <v>0.23</v>
          </cell>
          <cell r="H27">
            <v>44608</v>
          </cell>
          <cell r="I27">
            <v>0.28100000000000003</v>
          </cell>
          <cell r="J27">
            <v>31416</v>
          </cell>
          <cell r="K27">
            <v>0.58899999999999997</v>
          </cell>
          <cell r="L27">
            <v>193920</v>
          </cell>
          <cell r="M27">
            <v>410.01</v>
          </cell>
          <cell r="N27">
            <v>2.46</v>
          </cell>
          <cell r="O27">
            <v>12.6</v>
          </cell>
          <cell r="P27">
            <v>14.3</v>
          </cell>
          <cell r="Q27">
            <v>27.51</v>
          </cell>
        </row>
        <row r="28">
          <cell r="A28">
            <v>27</v>
          </cell>
          <cell r="B28" t="str">
            <v>Highlands</v>
          </cell>
          <cell r="C28" t="str">
            <v>high</v>
          </cell>
          <cell r="D28">
            <v>44307</v>
          </cell>
          <cell r="E28">
            <v>197.7</v>
          </cell>
          <cell r="F28">
            <v>25190</v>
          </cell>
          <cell r="G28">
            <v>0.23699999999999999</v>
          </cell>
          <cell r="H28">
            <v>25187</v>
          </cell>
          <cell r="I28">
            <v>0.28499999999999998</v>
          </cell>
          <cell r="J28">
            <v>20004</v>
          </cell>
          <cell r="K28">
            <v>0.52200000000000002</v>
          </cell>
          <cell r="L28">
            <v>106221</v>
          </cell>
          <cell r="M28">
            <v>104.38</v>
          </cell>
          <cell r="N28">
            <v>2.44</v>
          </cell>
          <cell r="O28">
            <v>12.7</v>
          </cell>
          <cell r="P28">
            <v>19.2</v>
          </cell>
          <cell r="Q28">
            <v>36.049999999999997</v>
          </cell>
        </row>
        <row r="29">
          <cell r="A29">
            <v>28</v>
          </cell>
          <cell r="B29" t="str">
            <v>Hillsborough</v>
          </cell>
          <cell r="C29" t="str">
            <v>high</v>
          </cell>
          <cell r="D29">
            <v>44307</v>
          </cell>
          <cell r="E29">
            <v>245.11</v>
          </cell>
          <cell r="F29">
            <v>317699</v>
          </cell>
          <cell r="G29">
            <v>0.216</v>
          </cell>
          <cell r="H29">
            <v>317374</v>
          </cell>
          <cell r="I29">
            <v>0.27700000000000002</v>
          </cell>
          <cell r="J29">
            <v>129277</v>
          </cell>
          <cell r="K29">
            <v>0.60399999999999998</v>
          </cell>
          <cell r="L29">
            <v>1471968</v>
          </cell>
          <cell r="M29">
            <v>1440.39</v>
          </cell>
          <cell r="N29">
            <v>2.63</v>
          </cell>
          <cell r="O29">
            <v>13</v>
          </cell>
          <cell r="P29">
            <v>15.3</v>
          </cell>
          <cell r="Q29">
            <v>14.54</v>
          </cell>
        </row>
        <row r="30">
          <cell r="A30">
            <v>29</v>
          </cell>
          <cell r="B30" t="str">
            <v>Holmes</v>
          </cell>
          <cell r="C30" t="str">
            <v>moderate</v>
          </cell>
          <cell r="D30">
            <v>44307</v>
          </cell>
          <cell r="E30" t="str">
            <v>suppressed</v>
          </cell>
          <cell r="F30">
            <v>2557</v>
          </cell>
          <cell r="G30">
            <v>0.13</v>
          </cell>
          <cell r="H30">
            <v>2556</v>
          </cell>
          <cell r="I30">
            <v>0.16400000000000001</v>
          </cell>
          <cell r="J30">
            <v>1716</v>
          </cell>
          <cell r="K30">
            <v>0.438</v>
          </cell>
          <cell r="L30">
            <v>19617</v>
          </cell>
          <cell r="M30">
            <v>40.97</v>
          </cell>
          <cell r="N30">
            <v>2.5099999999999998</v>
          </cell>
          <cell r="O30">
            <v>18.899999999999999</v>
          </cell>
          <cell r="P30">
            <v>25.6</v>
          </cell>
          <cell r="Q30">
            <v>19.989999999999998</v>
          </cell>
        </row>
        <row r="31">
          <cell r="A31">
            <v>30</v>
          </cell>
          <cell r="B31" t="str">
            <v>Indian River</v>
          </cell>
          <cell r="C31" t="str">
            <v>high</v>
          </cell>
          <cell r="D31">
            <v>44307</v>
          </cell>
          <cell r="E31">
            <v>111.93</v>
          </cell>
          <cell r="F31">
            <v>47992</v>
          </cell>
          <cell r="G31">
            <v>0.3</v>
          </cell>
          <cell r="H31">
            <v>47976</v>
          </cell>
          <cell r="I31">
            <v>0.35599999999999998</v>
          </cell>
          <cell r="J31">
            <v>36440</v>
          </cell>
          <cell r="K31">
            <v>0.67300000000000004</v>
          </cell>
          <cell r="L31">
            <v>159923</v>
          </cell>
          <cell r="M31">
            <v>318.08</v>
          </cell>
          <cell r="N31">
            <v>2.6</v>
          </cell>
          <cell r="O31">
            <v>12.1</v>
          </cell>
          <cell r="P31">
            <v>12.2</v>
          </cell>
          <cell r="Q31">
            <v>33.85</v>
          </cell>
        </row>
        <row r="32">
          <cell r="A32">
            <v>31</v>
          </cell>
          <cell r="B32" t="str">
            <v>Jackson</v>
          </cell>
          <cell r="C32" t="str">
            <v>substantial</v>
          </cell>
          <cell r="D32">
            <v>44307</v>
          </cell>
          <cell r="E32">
            <v>56.02</v>
          </cell>
          <cell r="F32">
            <v>8676</v>
          </cell>
          <cell r="G32">
            <v>0.187</v>
          </cell>
          <cell r="H32">
            <v>8675</v>
          </cell>
          <cell r="I32">
            <v>0.23</v>
          </cell>
          <cell r="J32">
            <v>5202</v>
          </cell>
          <cell r="K32">
            <v>0.54400000000000004</v>
          </cell>
          <cell r="L32">
            <v>46414</v>
          </cell>
          <cell r="M32">
            <v>50.55</v>
          </cell>
          <cell r="N32">
            <v>2.4</v>
          </cell>
          <cell r="O32">
            <v>11.3</v>
          </cell>
          <cell r="P32">
            <v>20.6</v>
          </cell>
          <cell r="Q32">
            <v>20.62</v>
          </cell>
        </row>
        <row r="33">
          <cell r="A33">
            <v>32</v>
          </cell>
          <cell r="B33" t="str">
            <v>Jefferson</v>
          </cell>
          <cell r="C33" t="str">
            <v>high</v>
          </cell>
          <cell r="D33">
            <v>44307</v>
          </cell>
          <cell r="E33">
            <v>133.37</v>
          </cell>
          <cell r="F33">
            <v>4448</v>
          </cell>
          <cell r="G33">
            <v>0.312</v>
          </cell>
          <cell r="H33">
            <v>4448</v>
          </cell>
          <cell r="I33">
            <v>0.374</v>
          </cell>
          <cell r="J33">
            <v>3184</v>
          </cell>
          <cell r="K33">
            <v>0.90700000000000003</v>
          </cell>
          <cell r="L33">
            <v>14246</v>
          </cell>
          <cell r="M33">
            <v>23.82</v>
          </cell>
          <cell r="N33">
            <v>2.04</v>
          </cell>
          <cell r="O33">
            <v>6.4</v>
          </cell>
          <cell r="P33">
            <v>14.1</v>
          </cell>
          <cell r="Q33">
            <v>24.65</v>
          </cell>
        </row>
        <row r="34">
          <cell r="A34">
            <v>33</v>
          </cell>
          <cell r="B34" t="str">
            <v>Lafayette</v>
          </cell>
          <cell r="C34" t="str">
            <v>substantial</v>
          </cell>
          <cell r="D34">
            <v>44307</v>
          </cell>
          <cell r="E34" t="str">
            <v>suppressed</v>
          </cell>
          <cell r="F34">
            <v>1318</v>
          </cell>
          <cell r="G34">
            <v>0.156</v>
          </cell>
          <cell r="H34">
            <v>1318</v>
          </cell>
          <cell r="I34">
            <v>0.19500000000000001</v>
          </cell>
          <cell r="J34">
            <v>1062</v>
          </cell>
          <cell r="K34">
            <v>0.73</v>
          </cell>
          <cell r="L34">
            <v>8422</v>
          </cell>
          <cell r="M34">
            <v>15.5</v>
          </cell>
          <cell r="N34">
            <v>3.43</v>
          </cell>
          <cell r="O34">
            <v>17.600000000000001</v>
          </cell>
          <cell r="P34">
            <v>20.100000000000001</v>
          </cell>
          <cell r="Q34">
            <v>17.28</v>
          </cell>
        </row>
        <row r="35">
          <cell r="A35">
            <v>34</v>
          </cell>
          <cell r="B35" t="str">
            <v>Lake</v>
          </cell>
          <cell r="C35" t="str">
            <v>high</v>
          </cell>
          <cell r="D35">
            <v>44307</v>
          </cell>
          <cell r="E35">
            <v>197.48</v>
          </cell>
          <cell r="F35">
            <v>108745</v>
          </cell>
          <cell r="G35">
            <v>0.29599999999999999</v>
          </cell>
          <cell r="H35">
            <v>108649</v>
          </cell>
          <cell r="I35">
            <v>0.36499999999999999</v>
          </cell>
          <cell r="J35">
            <v>75530</v>
          </cell>
          <cell r="K35">
            <v>0.76</v>
          </cell>
          <cell r="L35">
            <v>367118</v>
          </cell>
          <cell r="M35">
            <v>386.13</v>
          </cell>
          <cell r="N35">
            <v>2.5499999999999998</v>
          </cell>
          <cell r="O35">
            <v>11.6</v>
          </cell>
          <cell r="P35">
            <v>12.5</v>
          </cell>
          <cell r="Q35">
            <v>27.07</v>
          </cell>
        </row>
        <row r="36">
          <cell r="A36">
            <v>35</v>
          </cell>
          <cell r="B36" t="str">
            <v>Lee</v>
          </cell>
          <cell r="C36" t="str">
            <v>high</v>
          </cell>
          <cell r="D36">
            <v>44307</v>
          </cell>
          <cell r="E36">
            <v>238.52</v>
          </cell>
          <cell r="F36">
            <v>194256</v>
          </cell>
          <cell r="G36">
            <v>0.252</v>
          </cell>
          <cell r="H36">
            <v>194212</v>
          </cell>
          <cell r="I36">
            <v>0.30499999999999999</v>
          </cell>
          <cell r="J36">
            <v>144504</v>
          </cell>
          <cell r="K36">
            <v>0.64300000000000002</v>
          </cell>
          <cell r="L36">
            <v>770577</v>
          </cell>
          <cell r="M36">
            <v>986.08</v>
          </cell>
          <cell r="N36">
            <v>2.61</v>
          </cell>
          <cell r="O36">
            <v>14.3</v>
          </cell>
          <cell r="P36">
            <v>14</v>
          </cell>
          <cell r="Q36">
            <v>29.15</v>
          </cell>
        </row>
        <row r="37">
          <cell r="A37">
            <v>36</v>
          </cell>
          <cell r="B37" t="str">
            <v>Leon</v>
          </cell>
          <cell r="C37" t="str">
            <v>substantial</v>
          </cell>
          <cell r="D37">
            <v>44307</v>
          </cell>
          <cell r="E37">
            <v>99.8</v>
          </cell>
          <cell r="F37">
            <v>71298</v>
          </cell>
          <cell r="G37">
            <v>0.24299999999999999</v>
          </cell>
          <cell r="H37">
            <v>71187</v>
          </cell>
          <cell r="I37">
            <v>0.29799999999999999</v>
          </cell>
          <cell r="J37">
            <v>31645</v>
          </cell>
          <cell r="K37">
            <v>0.77600000000000002</v>
          </cell>
          <cell r="L37">
            <v>293582</v>
          </cell>
          <cell r="M37">
            <v>440.23</v>
          </cell>
          <cell r="N37">
            <v>2.4300000000000002</v>
          </cell>
          <cell r="O37">
            <v>8.1999999999999993</v>
          </cell>
          <cell r="P37">
            <v>20.399999999999999</v>
          </cell>
          <cell r="Q37">
            <v>13.89</v>
          </cell>
        </row>
        <row r="38">
          <cell r="A38">
            <v>37</v>
          </cell>
          <cell r="B38" t="str">
            <v>Levy</v>
          </cell>
          <cell r="C38" t="str">
            <v>high</v>
          </cell>
          <cell r="D38">
            <v>44307</v>
          </cell>
          <cell r="E38">
            <v>204.8</v>
          </cell>
          <cell r="F38">
            <v>7812</v>
          </cell>
          <cell r="G38">
            <v>0.188</v>
          </cell>
          <cell r="H38">
            <v>7806</v>
          </cell>
          <cell r="I38">
            <v>0.23300000000000001</v>
          </cell>
          <cell r="J38">
            <v>5433</v>
          </cell>
          <cell r="K38">
            <v>0.52100000000000002</v>
          </cell>
          <cell r="L38">
            <v>41503</v>
          </cell>
          <cell r="M38">
            <v>37.119999999999997</v>
          </cell>
          <cell r="N38">
            <v>2.41</v>
          </cell>
          <cell r="O38">
            <v>15.5</v>
          </cell>
          <cell r="P38">
            <v>20.7</v>
          </cell>
          <cell r="Q38">
            <v>25.15</v>
          </cell>
        </row>
        <row r="39">
          <cell r="A39">
            <v>38</v>
          </cell>
          <cell r="B39" t="str">
            <v>Liberty</v>
          </cell>
          <cell r="C39" t="str">
            <v>moderate</v>
          </cell>
          <cell r="D39">
            <v>44307</v>
          </cell>
          <cell r="E39" t="str">
            <v>suppressed</v>
          </cell>
          <cell r="F39">
            <v>1169</v>
          </cell>
          <cell r="G39">
            <v>0.14000000000000001</v>
          </cell>
          <cell r="H39">
            <v>1169</v>
          </cell>
          <cell r="I39">
            <v>0.16900000000000001</v>
          </cell>
          <cell r="J39">
            <v>707</v>
          </cell>
          <cell r="K39">
            <v>0.56299999999999994</v>
          </cell>
          <cell r="L39">
            <v>8354</v>
          </cell>
          <cell r="M39">
            <v>10</v>
          </cell>
          <cell r="N39">
            <v>2.9</v>
          </cell>
          <cell r="O39">
            <v>18.5</v>
          </cell>
          <cell r="P39">
            <v>13</v>
          </cell>
          <cell r="Q39">
            <v>15.04</v>
          </cell>
        </row>
        <row r="40">
          <cell r="A40">
            <v>39</v>
          </cell>
          <cell r="B40" t="str">
            <v>Madison</v>
          </cell>
          <cell r="C40" t="str">
            <v>moderate</v>
          </cell>
          <cell r="D40">
            <v>44307</v>
          </cell>
          <cell r="E40" t="str">
            <v>suppressed</v>
          </cell>
          <cell r="F40">
            <v>3843</v>
          </cell>
          <cell r="G40">
            <v>0.20799999999999999</v>
          </cell>
          <cell r="H40">
            <v>3842</v>
          </cell>
          <cell r="I40">
            <v>0.255</v>
          </cell>
          <cell r="J40">
            <v>2431</v>
          </cell>
          <cell r="K40">
            <v>0.623</v>
          </cell>
          <cell r="L40">
            <v>18493</v>
          </cell>
          <cell r="M40">
            <v>26.55</v>
          </cell>
          <cell r="N40">
            <v>2.4500000000000002</v>
          </cell>
          <cell r="O40">
            <v>13.1</v>
          </cell>
          <cell r="P40">
            <v>28.2</v>
          </cell>
          <cell r="Q40">
            <v>21.1</v>
          </cell>
        </row>
        <row r="41">
          <cell r="A41">
            <v>40</v>
          </cell>
          <cell r="B41" t="str">
            <v>Manatee</v>
          </cell>
          <cell r="C41" t="str">
            <v>high</v>
          </cell>
          <cell r="D41">
            <v>44307</v>
          </cell>
          <cell r="E41">
            <v>223.18</v>
          </cell>
          <cell r="F41">
            <v>102474</v>
          </cell>
          <cell r="G41">
            <v>0.254</v>
          </cell>
          <cell r="H41">
            <v>102447</v>
          </cell>
          <cell r="I41">
            <v>0.31</v>
          </cell>
          <cell r="J41">
            <v>72826</v>
          </cell>
          <cell r="K41">
            <v>0.64400000000000002</v>
          </cell>
          <cell r="L41">
            <v>403253</v>
          </cell>
          <cell r="M41">
            <v>542.28</v>
          </cell>
          <cell r="N41">
            <v>2.57</v>
          </cell>
          <cell r="O41">
            <v>12.7</v>
          </cell>
          <cell r="P41">
            <v>12.5</v>
          </cell>
          <cell r="Q41">
            <v>28.06</v>
          </cell>
        </row>
        <row r="42">
          <cell r="A42">
            <v>41</v>
          </cell>
          <cell r="B42" t="str">
            <v>Marion</v>
          </cell>
          <cell r="C42" t="str">
            <v>high</v>
          </cell>
          <cell r="D42">
            <v>44307</v>
          </cell>
          <cell r="E42">
            <v>120.9</v>
          </cell>
          <cell r="F42">
            <v>90363</v>
          </cell>
          <cell r="G42">
            <v>0.247</v>
          </cell>
          <cell r="H42">
            <v>90335</v>
          </cell>
          <cell r="I42">
            <v>0.30299999999999999</v>
          </cell>
          <cell r="J42">
            <v>65273</v>
          </cell>
          <cell r="K42">
            <v>0.61199999999999999</v>
          </cell>
          <cell r="L42">
            <v>365579</v>
          </cell>
          <cell r="M42">
            <v>230.15</v>
          </cell>
          <cell r="N42">
            <v>2.48</v>
          </cell>
          <cell r="O42">
            <v>12.3</v>
          </cell>
          <cell r="P42">
            <v>16.600000000000001</v>
          </cell>
          <cell r="Q42">
            <v>29.18</v>
          </cell>
        </row>
        <row r="43">
          <cell r="A43">
            <v>42</v>
          </cell>
          <cell r="B43" t="str">
            <v>Martin</v>
          </cell>
          <cell r="C43" t="str">
            <v>high</v>
          </cell>
          <cell r="D43">
            <v>44307</v>
          </cell>
          <cell r="E43">
            <v>139.75</v>
          </cell>
          <cell r="F43">
            <v>48286</v>
          </cell>
          <cell r="G43">
            <v>0.3</v>
          </cell>
          <cell r="H43">
            <v>48266</v>
          </cell>
          <cell r="I43">
            <v>0.35799999999999998</v>
          </cell>
          <cell r="J43">
            <v>36401</v>
          </cell>
          <cell r="K43">
            <v>0.71699999999999997</v>
          </cell>
          <cell r="L43">
            <v>161000</v>
          </cell>
          <cell r="M43">
            <v>296.05</v>
          </cell>
          <cell r="N43">
            <v>2.41</v>
          </cell>
          <cell r="O43">
            <v>11.5</v>
          </cell>
          <cell r="P43">
            <v>10.5</v>
          </cell>
          <cell r="Q43">
            <v>31.53</v>
          </cell>
        </row>
        <row r="44">
          <cell r="A44">
            <v>43</v>
          </cell>
          <cell r="B44" t="str">
            <v>Miami-Dade</v>
          </cell>
          <cell r="C44" t="str">
            <v>high</v>
          </cell>
          <cell r="D44">
            <v>44307</v>
          </cell>
          <cell r="E44">
            <v>388.45</v>
          </cell>
          <cell r="F44">
            <v>697459</v>
          </cell>
          <cell r="G44">
            <v>0.25700000000000001</v>
          </cell>
          <cell r="H44">
            <v>695938</v>
          </cell>
          <cell r="I44">
            <v>0.32100000000000001</v>
          </cell>
          <cell r="J44">
            <v>299154</v>
          </cell>
          <cell r="K44">
            <v>0.66100000000000003</v>
          </cell>
          <cell r="L44">
            <v>2716940</v>
          </cell>
          <cell r="M44">
            <v>1430.09</v>
          </cell>
          <cell r="N44">
            <v>3.07</v>
          </cell>
          <cell r="O44">
            <v>18.100000000000001</v>
          </cell>
          <cell r="P44">
            <v>18</v>
          </cell>
          <cell r="Q44">
            <v>16.66</v>
          </cell>
        </row>
        <row r="45">
          <cell r="A45">
            <v>44</v>
          </cell>
          <cell r="B45" t="str">
            <v>Monroe</v>
          </cell>
          <cell r="C45" t="str">
            <v>high</v>
          </cell>
          <cell r="D45">
            <v>44307</v>
          </cell>
          <cell r="E45">
            <v>148.19</v>
          </cell>
          <cell r="F45">
            <v>22225</v>
          </cell>
          <cell r="G45">
            <v>0.29899999999999999</v>
          </cell>
          <cell r="H45">
            <v>22215</v>
          </cell>
          <cell r="I45">
            <v>0.35299999999999998</v>
          </cell>
          <cell r="J45">
            <v>13477</v>
          </cell>
          <cell r="K45">
            <v>0.76500000000000001</v>
          </cell>
          <cell r="L45">
            <v>74228</v>
          </cell>
          <cell r="M45">
            <v>75.510000000000005</v>
          </cell>
          <cell r="N45">
            <v>2.39</v>
          </cell>
          <cell r="O45">
            <v>17.8</v>
          </cell>
          <cell r="P45">
            <v>11.8</v>
          </cell>
          <cell r="Q45">
            <v>23.75</v>
          </cell>
        </row>
        <row r="46">
          <cell r="A46">
            <v>45</v>
          </cell>
          <cell r="B46" t="str">
            <v>Nassau</v>
          </cell>
          <cell r="C46" t="str">
            <v>high</v>
          </cell>
          <cell r="D46">
            <v>44307</v>
          </cell>
          <cell r="E46">
            <v>117.35</v>
          </cell>
          <cell r="F46">
            <v>25466</v>
          </cell>
          <cell r="G46">
            <v>0.28699999999999998</v>
          </cell>
          <cell r="H46">
            <v>25451</v>
          </cell>
          <cell r="I46">
            <v>0.35799999999999998</v>
          </cell>
          <cell r="J46">
            <v>15603</v>
          </cell>
          <cell r="K46">
            <v>0.77100000000000002</v>
          </cell>
          <cell r="L46">
            <v>88625</v>
          </cell>
          <cell r="M46">
            <v>136.62</v>
          </cell>
          <cell r="N46">
            <v>2.5499999999999998</v>
          </cell>
          <cell r="O46">
            <v>11</v>
          </cell>
          <cell r="P46">
            <v>10.199999999999999</v>
          </cell>
          <cell r="Q46">
            <v>22.83</v>
          </cell>
        </row>
        <row r="47">
          <cell r="A47">
            <v>46</v>
          </cell>
          <cell r="B47" t="str">
            <v>Okaloosa</v>
          </cell>
          <cell r="C47" t="str">
            <v>substantial</v>
          </cell>
          <cell r="D47">
            <v>44307</v>
          </cell>
          <cell r="E47">
            <v>98.23</v>
          </cell>
          <cell r="F47">
            <v>46003</v>
          </cell>
          <cell r="G47">
            <v>0.218</v>
          </cell>
          <cell r="H47">
            <v>45976</v>
          </cell>
          <cell r="I47">
            <v>0.28100000000000003</v>
          </cell>
          <cell r="J47">
            <v>24451</v>
          </cell>
          <cell r="K47">
            <v>0.71099999999999997</v>
          </cell>
          <cell r="L47">
            <v>210738</v>
          </cell>
          <cell r="M47">
            <v>226.55</v>
          </cell>
          <cell r="N47">
            <v>2.52</v>
          </cell>
          <cell r="O47">
            <v>12.2</v>
          </cell>
          <cell r="P47">
            <v>11.5</v>
          </cell>
          <cell r="Q47">
            <v>16.309999999999999</v>
          </cell>
        </row>
        <row r="48">
          <cell r="A48">
            <v>47</v>
          </cell>
          <cell r="B48" t="str">
            <v>Okeechobee</v>
          </cell>
          <cell r="C48" t="str">
            <v>high</v>
          </cell>
          <cell r="D48">
            <v>44307</v>
          </cell>
          <cell r="E48">
            <v>142.29</v>
          </cell>
          <cell r="F48">
            <v>7039</v>
          </cell>
          <cell r="G48">
            <v>0.16700000000000001</v>
          </cell>
          <cell r="H48">
            <v>7037</v>
          </cell>
          <cell r="I48">
            <v>0.21199999999999999</v>
          </cell>
          <cell r="J48">
            <v>5354</v>
          </cell>
          <cell r="K48">
            <v>0.63100000000000001</v>
          </cell>
          <cell r="L48">
            <v>42168</v>
          </cell>
          <cell r="M48">
            <v>54.82</v>
          </cell>
          <cell r="N48">
            <v>2.73</v>
          </cell>
          <cell r="O48">
            <v>18.100000000000001</v>
          </cell>
          <cell r="P48">
            <v>22.7</v>
          </cell>
          <cell r="Q48">
            <v>20.12</v>
          </cell>
        </row>
        <row r="49">
          <cell r="A49">
            <v>48</v>
          </cell>
          <cell r="B49" t="str">
            <v>Orange</v>
          </cell>
          <cell r="C49" t="str">
            <v>high</v>
          </cell>
          <cell r="D49">
            <v>44307</v>
          </cell>
          <cell r="E49">
            <v>240.63</v>
          </cell>
          <cell r="F49">
            <v>304633</v>
          </cell>
          <cell r="G49">
            <v>0.219</v>
          </cell>
          <cell r="H49">
            <v>303932</v>
          </cell>
          <cell r="I49">
            <v>0.27900000000000003</v>
          </cell>
          <cell r="J49">
            <v>117069</v>
          </cell>
          <cell r="K49">
            <v>0.68200000000000005</v>
          </cell>
          <cell r="L49">
            <v>1393452</v>
          </cell>
          <cell r="M49">
            <v>1545.08</v>
          </cell>
          <cell r="N49">
            <v>2.81</v>
          </cell>
          <cell r="O49">
            <v>14.5</v>
          </cell>
          <cell r="P49">
            <v>16.100000000000001</v>
          </cell>
          <cell r="Q49">
            <v>12.31</v>
          </cell>
        </row>
        <row r="50">
          <cell r="A50">
            <v>49</v>
          </cell>
          <cell r="B50" t="str">
            <v>Osceola</v>
          </cell>
          <cell r="C50" t="str">
            <v>high</v>
          </cell>
          <cell r="D50">
            <v>44307</v>
          </cell>
          <cell r="E50">
            <v>329.74</v>
          </cell>
          <cell r="F50">
            <v>73643</v>
          </cell>
          <cell r="G50">
            <v>0.19600000000000001</v>
          </cell>
          <cell r="H50">
            <v>73565</v>
          </cell>
          <cell r="I50">
            <v>0.25800000000000001</v>
          </cell>
          <cell r="J50">
            <v>34884</v>
          </cell>
          <cell r="K50">
            <v>0.68700000000000006</v>
          </cell>
          <cell r="L50">
            <v>375751</v>
          </cell>
          <cell r="M50">
            <v>283.04000000000002</v>
          </cell>
          <cell r="N50">
            <v>3.4</v>
          </cell>
          <cell r="O50">
            <v>15.8</v>
          </cell>
          <cell r="P50">
            <v>16.3</v>
          </cell>
          <cell r="Q50">
            <v>13.52</v>
          </cell>
        </row>
        <row r="51">
          <cell r="A51">
            <v>50</v>
          </cell>
          <cell r="B51" t="str">
            <v>Palm Beach</v>
          </cell>
          <cell r="C51" t="str">
            <v>high</v>
          </cell>
          <cell r="D51">
            <v>44307</v>
          </cell>
          <cell r="E51">
            <v>199.96</v>
          </cell>
          <cell r="F51">
            <v>391497</v>
          </cell>
          <cell r="G51">
            <v>0.26200000000000001</v>
          </cell>
          <cell r="H51">
            <v>391070</v>
          </cell>
          <cell r="I51">
            <v>0.32200000000000001</v>
          </cell>
          <cell r="J51">
            <v>246076</v>
          </cell>
          <cell r="K51">
            <v>0.67500000000000004</v>
          </cell>
          <cell r="L51">
            <v>1496770</v>
          </cell>
          <cell r="M51">
            <v>761.99</v>
          </cell>
          <cell r="N51">
            <v>2.6</v>
          </cell>
          <cell r="O51">
            <v>13.6</v>
          </cell>
          <cell r="P51">
            <v>12.8</v>
          </cell>
          <cell r="Q51">
            <v>24.36</v>
          </cell>
        </row>
        <row r="52">
          <cell r="A52">
            <v>51</v>
          </cell>
          <cell r="B52" t="str">
            <v>Pasco</v>
          </cell>
          <cell r="C52" t="str">
            <v>high</v>
          </cell>
          <cell r="D52">
            <v>44307</v>
          </cell>
          <cell r="E52">
            <v>211.21</v>
          </cell>
          <cell r="F52">
            <v>123406</v>
          </cell>
          <cell r="G52">
            <v>0.223</v>
          </cell>
          <cell r="H52">
            <v>123325</v>
          </cell>
          <cell r="I52">
            <v>0.27900000000000003</v>
          </cell>
          <cell r="J52">
            <v>75288</v>
          </cell>
          <cell r="K52">
            <v>0.6</v>
          </cell>
          <cell r="L52">
            <v>553947</v>
          </cell>
          <cell r="M52">
            <v>741.98</v>
          </cell>
          <cell r="N52">
            <v>2.52</v>
          </cell>
          <cell r="O52">
            <v>11.8</v>
          </cell>
          <cell r="P52">
            <v>13.5</v>
          </cell>
          <cell r="Q52">
            <v>22.65</v>
          </cell>
        </row>
        <row r="53">
          <cell r="A53">
            <v>52</v>
          </cell>
          <cell r="B53" t="str">
            <v>Pinellas</v>
          </cell>
          <cell r="C53" t="str">
            <v>high</v>
          </cell>
          <cell r="D53">
            <v>44307</v>
          </cell>
          <cell r="E53">
            <v>172.72</v>
          </cell>
          <cell r="F53">
            <v>278570</v>
          </cell>
          <cell r="G53">
            <v>0.28599999999999998</v>
          </cell>
          <cell r="H53">
            <v>278382</v>
          </cell>
          <cell r="I53">
            <v>0.34</v>
          </cell>
          <cell r="J53">
            <v>160845</v>
          </cell>
          <cell r="K53">
            <v>0.65</v>
          </cell>
          <cell r="L53">
            <v>974996</v>
          </cell>
          <cell r="M53">
            <v>3561.28</v>
          </cell>
          <cell r="N53">
            <v>2.31</v>
          </cell>
          <cell r="O53">
            <v>11.5</v>
          </cell>
          <cell r="P53">
            <v>13</v>
          </cell>
          <cell r="Q53">
            <v>25.4</v>
          </cell>
        </row>
        <row r="54">
          <cell r="A54">
            <v>53</v>
          </cell>
          <cell r="B54" t="str">
            <v>Polk</v>
          </cell>
          <cell r="C54" t="str">
            <v>high</v>
          </cell>
          <cell r="D54">
            <v>44307</v>
          </cell>
          <cell r="E54">
            <v>243.52</v>
          </cell>
          <cell r="F54">
            <v>140006</v>
          </cell>
          <cell r="G54">
            <v>0.193</v>
          </cell>
          <cell r="H54">
            <v>139913</v>
          </cell>
          <cell r="I54">
            <v>0.247</v>
          </cell>
          <cell r="J54">
            <v>86415</v>
          </cell>
          <cell r="K54">
            <v>0.58299999999999996</v>
          </cell>
          <cell r="L54">
            <v>724777</v>
          </cell>
          <cell r="M54">
            <v>403.21</v>
          </cell>
          <cell r="N54">
            <v>2.84</v>
          </cell>
          <cell r="O54">
            <v>13.2</v>
          </cell>
          <cell r="P54">
            <v>16.600000000000001</v>
          </cell>
          <cell r="Q54">
            <v>20.440000000000001</v>
          </cell>
        </row>
        <row r="55">
          <cell r="A55">
            <v>54</v>
          </cell>
          <cell r="B55" t="str">
            <v>Putnam</v>
          </cell>
          <cell r="C55" t="str">
            <v>high</v>
          </cell>
          <cell r="D55">
            <v>44307</v>
          </cell>
          <cell r="E55">
            <v>177.13</v>
          </cell>
          <cell r="F55">
            <v>11941</v>
          </cell>
          <cell r="G55">
            <v>0.16</v>
          </cell>
          <cell r="H55">
            <v>11938</v>
          </cell>
          <cell r="I55">
            <v>0.20300000000000001</v>
          </cell>
          <cell r="J55">
            <v>8075</v>
          </cell>
          <cell r="K55">
            <v>0.45700000000000002</v>
          </cell>
          <cell r="L55">
            <v>74521</v>
          </cell>
          <cell r="M55">
            <v>102.38</v>
          </cell>
          <cell r="N55">
            <v>2.52</v>
          </cell>
          <cell r="O55">
            <v>16</v>
          </cell>
          <cell r="P55">
            <v>24.8</v>
          </cell>
          <cell r="Q55">
            <v>23.72</v>
          </cell>
        </row>
        <row r="56">
          <cell r="A56">
            <v>55</v>
          </cell>
          <cell r="B56" t="str">
            <v>Santa Rosa</v>
          </cell>
          <cell r="C56" t="str">
            <v>moderate</v>
          </cell>
          <cell r="D56">
            <v>44307</v>
          </cell>
          <cell r="E56">
            <v>48.83</v>
          </cell>
          <cell r="F56">
            <v>35500</v>
          </cell>
          <cell r="G56">
            <v>0.193</v>
          </cell>
          <cell r="H56">
            <v>35463</v>
          </cell>
          <cell r="I56">
            <v>0.246</v>
          </cell>
          <cell r="J56">
            <v>19957</v>
          </cell>
          <cell r="K56">
            <v>0.66300000000000003</v>
          </cell>
          <cell r="L56">
            <v>184313</v>
          </cell>
          <cell r="M56">
            <v>182.06</v>
          </cell>
          <cell r="N56">
            <v>2.68</v>
          </cell>
          <cell r="O56">
            <v>10</v>
          </cell>
          <cell r="P56">
            <v>9.8000000000000007</v>
          </cell>
          <cell r="Q56">
            <v>16.34</v>
          </cell>
        </row>
        <row r="57">
          <cell r="A57">
            <v>56</v>
          </cell>
          <cell r="B57" t="str">
            <v>Sarasota</v>
          </cell>
          <cell r="C57" t="str">
            <v>high</v>
          </cell>
          <cell r="D57">
            <v>44307</v>
          </cell>
          <cell r="E57">
            <v>192.51</v>
          </cell>
          <cell r="F57">
            <v>146640</v>
          </cell>
          <cell r="G57">
            <v>0.33800000000000002</v>
          </cell>
          <cell r="H57">
            <v>146565</v>
          </cell>
          <cell r="I57">
            <v>0.39300000000000002</v>
          </cell>
          <cell r="J57">
            <v>112993</v>
          </cell>
          <cell r="K57">
            <v>0.69799999999999995</v>
          </cell>
          <cell r="L57">
            <v>433742</v>
          </cell>
          <cell r="M57">
            <v>780.13</v>
          </cell>
          <cell r="N57">
            <v>2.25</v>
          </cell>
          <cell r="O57">
            <v>11.4</v>
          </cell>
          <cell r="P57">
            <v>9.6999999999999993</v>
          </cell>
          <cell r="Q57">
            <v>37.340000000000003</v>
          </cell>
        </row>
        <row r="58">
          <cell r="A58">
            <v>57</v>
          </cell>
          <cell r="B58" t="str">
            <v>Seminole</v>
          </cell>
          <cell r="C58" t="str">
            <v>high</v>
          </cell>
          <cell r="D58">
            <v>44307</v>
          </cell>
          <cell r="E58">
            <v>224.87</v>
          </cell>
          <cell r="F58">
            <v>100149</v>
          </cell>
          <cell r="G58">
            <v>0.21199999999999999</v>
          </cell>
          <cell r="H58">
            <v>99973</v>
          </cell>
          <cell r="I58">
            <v>0.26800000000000002</v>
          </cell>
          <cell r="J58">
            <v>48028</v>
          </cell>
          <cell r="K58">
            <v>0.63700000000000001</v>
          </cell>
          <cell r="L58">
            <v>471826</v>
          </cell>
          <cell r="M58">
            <v>1525.34</v>
          </cell>
          <cell r="N58">
            <v>2.7</v>
          </cell>
          <cell r="O58">
            <v>10.4</v>
          </cell>
          <cell r="P58">
            <v>11.4</v>
          </cell>
          <cell r="Q58">
            <v>15.98</v>
          </cell>
        </row>
        <row r="59">
          <cell r="A59">
            <v>58</v>
          </cell>
          <cell r="B59" t="str">
            <v>St. Johns</v>
          </cell>
          <cell r="C59" t="str">
            <v>high</v>
          </cell>
          <cell r="D59">
            <v>44307</v>
          </cell>
          <cell r="E59">
            <v>122.42</v>
          </cell>
          <cell r="F59">
            <v>85555</v>
          </cell>
          <cell r="G59">
            <v>0.32300000000000001</v>
          </cell>
          <cell r="H59">
            <v>85400</v>
          </cell>
          <cell r="I59">
            <v>0.41199999999999998</v>
          </cell>
          <cell r="J59">
            <v>45585</v>
          </cell>
          <cell r="K59">
            <v>0.83399999999999996</v>
          </cell>
          <cell r="L59">
            <v>264672</v>
          </cell>
          <cell r="M59">
            <v>440.71</v>
          </cell>
          <cell r="N59">
            <v>2.7</v>
          </cell>
          <cell r="O59">
            <v>8.4</v>
          </cell>
          <cell r="P59">
            <v>8.4</v>
          </cell>
          <cell r="Q59">
            <v>20.65</v>
          </cell>
        </row>
        <row r="60">
          <cell r="A60">
            <v>59</v>
          </cell>
          <cell r="B60" t="str">
            <v>St. Lucie</v>
          </cell>
          <cell r="C60" t="str">
            <v>high</v>
          </cell>
          <cell r="D60">
            <v>44307</v>
          </cell>
          <cell r="E60">
            <v>155.35</v>
          </cell>
          <cell r="F60">
            <v>71003</v>
          </cell>
          <cell r="G60">
            <v>0.216</v>
          </cell>
          <cell r="H60">
            <v>70983</v>
          </cell>
          <cell r="I60">
            <v>0.26900000000000002</v>
          </cell>
          <cell r="J60">
            <v>48522</v>
          </cell>
          <cell r="K60">
            <v>0.6</v>
          </cell>
          <cell r="L60">
            <v>328297</v>
          </cell>
          <cell r="M60">
            <v>574.29999999999995</v>
          </cell>
          <cell r="N60">
            <v>2.68</v>
          </cell>
          <cell r="O60">
            <v>14</v>
          </cell>
          <cell r="P60">
            <v>15</v>
          </cell>
          <cell r="Q60">
            <v>24.65</v>
          </cell>
        </row>
        <row r="61">
          <cell r="A61">
            <v>60</v>
          </cell>
          <cell r="B61" t="str">
            <v>Sumter</v>
          </cell>
          <cell r="C61" t="str">
            <v>substantial</v>
          </cell>
          <cell r="D61">
            <v>44307</v>
          </cell>
          <cell r="E61">
            <v>83.82</v>
          </cell>
          <cell r="F61">
            <v>71333</v>
          </cell>
          <cell r="G61">
            <v>0.53900000000000003</v>
          </cell>
          <cell r="H61">
            <v>71323</v>
          </cell>
          <cell r="I61">
            <v>0.57999999999999996</v>
          </cell>
          <cell r="J61">
            <v>61894</v>
          </cell>
          <cell r="K61">
            <v>0.80300000000000005</v>
          </cell>
          <cell r="L61">
            <v>132420</v>
          </cell>
          <cell r="M61">
            <v>237.68</v>
          </cell>
          <cell r="N61">
            <v>2.04</v>
          </cell>
          <cell r="O61">
            <v>6.2</v>
          </cell>
          <cell r="P61">
            <v>8.8000000000000007</v>
          </cell>
          <cell r="Q61">
            <v>58.17</v>
          </cell>
        </row>
        <row r="62">
          <cell r="A62">
            <v>61</v>
          </cell>
          <cell r="B62" t="str">
            <v>Suwannee</v>
          </cell>
          <cell r="C62" t="str">
            <v>substantial</v>
          </cell>
          <cell r="D62">
            <v>44307</v>
          </cell>
          <cell r="E62">
            <v>74.3</v>
          </cell>
          <cell r="F62">
            <v>7422</v>
          </cell>
          <cell r="G62">
            <v>0.16700000000000001</v>
          </cell>
          <cell r="H62">
            <v>7420</v>
          </cell>
          <cell r="I62">
            <v>0.21199999999999999</v>
          </cell>
          <cell r="J62">
            <v>5206</v>
          </cell>
          <cell r="K62">
            <v>0.53900000000000003</v>
          </cell>
          <cell r="L62">
            <v>44417</v>
          </cell>
          <cell r="M62">
            <v>64.510000000000005</v>
          </cell>
          <cell r="N62">
            <v>2.81</v>
          </cell>
          <cell r="O62">
            <v>13.9</v>
          </cell>
          <cell r="P62">
            <v>17.8</v>
          </cell>
          <cell r="Q62">
            <v>21.73</v>
          </cell>
        </row>
        <row r="63">
          <cell r="A63">
            <v>62</v>
          </cell>
          <cell r="B63" t="str">
            <v>Taylor</v>
          </cell>
          <cell r="C63" t="str">
            <v>moderate</v>
          </cell>
          <cell r="D63">
            <v>44307</v>
          </cell>
          <cell r="E63" t="str">
            <v>suppressed</v>
          </cell>
          <cell r="F63">
            <v>3383</v>
          </cell>
          <cell r="G63">
            <v>0.157</v>
          </cell>
          <cell r="H63">
            <v>3381</v>
          </cell>
          <cell r="I63">
            <v>0.19500000000000001</v>
          </cell>
          <cell r="J63">
            <v>2298</v>
          </cell>
          <cell r="K63">
            <v>0.50800000000000001</v>
          </cell>
          <cell r="L63">
            <v>21569</v>
          </cell>
          <cell r="M63">
            <v>20.67</v>
          </cell>
          <cell r="N63">
            <v>2.4700000000000002</v>
          </cell>
          <cell r="O63">
            <v>10.9</v>
          </cell>
          <cell r="P63">
            <v>19.8</v>
          </cell>
          <cell r="Q63">
            <v>20.98</v>
          </cell>
        </row>
        <row r="64">
          <cell r="A64">
            <v>63</v>
          </cell>
          <cell r="B64" t="str">
            <v>Union</v>
          </cell>
          <cell r="C64" t="str">
            <v>substantial</v>
          </cell>
          <cell r="D64">
            <v>44307</v>
          </cell>
          <cell r="E64">
            <v>85.32</v>
          </cell>
          <cell r="F64">
            <v>1693</v>
          </cell>
          <cell r="G64">
            <v>0.111</v>
          </cell>
          <cell r="H64">
            <v>1693</v>
          </cell>
          <cell r="I64">
            <v>0.13800000000000001</v>
          </cell>
          <cell r="J64">
            <v>1111</v>
          </cell>
          <cell r="K64">
            <v>0.47899999999999998</v>
          </cell>
          <cell r="L64">
            <v>15237</v>
          </cell>
          <cell r="M64">
            <v>62.56</v>
          </cell>
          <cell r="N64">
            <v>2.5</v>
          </cell>
          <cell r="O64">
            <v>12.4</v>
          </cell>
          <cell r="P64">
            <v>22</v>
          </cell>
          <cell r="Q64">
            <v>15.21</v>
          </cell>
        </row>
        <row r="65">
          <cell r="A65">
            <v>64</v>
          </cell>
          <cell r="B65" t="str">
            <v>Volusia</v>
          </cell>
          <cell r="C65" t="str">
            <v>high</v>
          </cell>
          <cell r="D65">
            <v>44307</v>
          </cell>
          <cell r="E65">
            <v>226.29</v>
          </cell>
          <cell r="F65">
            <v>133843</v>
          </cell>
          <cell r="G65">
            <v>0.24199999999999999</v>
          </cell>
          <cell r="H65">
            <v>133790</v>
          </cell>
          <cell r="I65">
            <v>0.29299999999999998</v>
          </cell>
          <cell r="J65">
            <v>89902</v>
          </cell>
          <cell r="K65">
            <v>0.65200000000000002</v>
          </cell>
          <cell r="L65">
            <v>553284</v>
          </cell>
          <cell r="M65">
            <v>502.42</v>
          </cell>
          <cell r="N65">
            <v>2.4300000000000002</v>
          </cell>
          <cell r="O65">
            <v>12.5</v>
          </cell>
          <cell r="P65">
            <v>15.2</v>
          </cell>
          <cell r="Q65">
            <v>24.91</v>
          </cell>
        </row>
        <row r="66">
          <cell r="A66">
            <v>65</v>
          </cell>
          <cell r="B66" t="str">
            <v>Wakulla</v>
          </cell>
          <cell r="C66" t="str">
            <v>high</v>
          </cell>
          <cell r="D66">
            <v>44307</v>
          </cell>
          <cell r="E66">
            <v>171.91</v>
          </cell>
          <cell r="F66">
            <v>6566</v>
          </cell>
          <cell r="G66">
            <v>0.19500000000000001</v>
          </cell>
          <cell r="H66">
            <v>6561</v>
          </cell>
          <cell r="I66">
            <v>0.245</v>
          </cell>
          <cell r="J66">
            <v>3883</v>
          </cell>
          <cell r="K66">
            <v>0.72399999999999998</v>
          </cell>
          <cell r="L66">
            <v>33739</v>
          </cell>
          <cell r="M66">
            <v>55.64</v>
          </cell>
          <cell r="N66">
            <v>2.56</v>
          </cell>
          <cell r="O66">
            <v>9</v>
          </cell>
          <cell r="P66">
            <v>11.5</v>
          </cell>
          <cell r="Q66">
            <v>15.9</v>
          </cell>
        </row>
        <row r="67">
          <cell r="A67">
            <v>66</v>
          </cell>
          <cell r="B67" t="str">
            <v>Walton</v>
          </cell>
          <cell r="C67" t="str">
            <v>high</v>
          </cell>
          <cell r="D67">
            <v>44307</v>
          </cell>
          <cell r="E67">
            <v>126.91</v>
          </cell>
          <cell r="F67">
            <v>14348</v>
          </cell>
          <cell r="G67">
            <v>0.19400000000000001</v>
          </cell>
          <cell r="H67">
            <v>14344</v>
          </cell>
          <cell r="I67">
            <v>0.24299999999999999</v>
          </cell>
          <cell r="J67">
            <v>8963</v>
          </cell>
          <cell r="K67">
            <v>0.59799999999999998</v>
          </cell>
          <cell r="L67">
            <v>74071</v>
          </cell>
          <cell r="M67">
            <v>71.38</v>
          </cell>
          <cell r="N67">
            <v>2.42</v>
          </cell>
          <cell r="O67">
            <v>13.5</v>
          </cell>
          <cell r="P67">
            <v>14.7</v>
          </cell>
          <cell r="Q67">
            <v>20.22</v>
          </cell>
        </row>
        <row r="68">
          <cell r="A68">
            <v>67</v>
          </cell>
          <cell r="B68" t="str">
            <v>Washington</v>
          </cell>
          <cell r="C68" t="str">
            <v>moderate</v>
          </cell>
          <cell r="D68">
            <v>44307</v>
          </cell>
          <cell r="E68" t="str">
            <v>suppressed</v>
          </cell>
          <cell r="F68">
            <v>3162</v>
          </cell>
          <cell r="G68">
            <v>0.124</v>
          </cell>
          <cell r="H68">
            <v>3159</v>
          </cell>
          <cell r="I68">
            <v>0.155</v>
          </cell>
          <cell r="J68">
            <v>2007</v>
          </cell>
          <cell r="K68">
            <v>0.45800000000000002</v>
          </cell>
          <cell r="L68">
            <v>25473</v>
          </cell>
          <cell r="M68">
            <v>43.57</v>
          </cell>
          <cell r="N68">
            <v>2.57</v>
          </cell>
          <cell r="O68">
            <v>12.8</v>
          </cell>
          <cell r="P68">
            <v>22.4</v>
          </cell>
          <cell r="Q68">
            <v>17.2</v>
          </cell>
        </row>
      </sheetData>
      <sheetData sheetId="13">
        <row r="1">
          <cell r="B1" t="str">
            <v>County</v>
          </cell>
          <cell r="C1" t="str">
            <v>Level_Of_Transmission</v>
          </cell>
          <cell r="D1" t="str">
            <v>Date_Updated</v>
          </cell>
          <cell r="E1" t="str">
            <v>Infection_Rate</v>
          </cell>
          <cell r="F1" t="str">
            <v>Vaccinated</v>
          </cell>
          <cell r="G1" t="str">
            <v>Vaccinated_Percent</v>
          </cell>
          <cell r="H1" t="str">
            <v>Over_18_Vacc</v>
          </cell>
          <cell r="I1" t="str">
            <v>Over_18_Vacc_Percent</v>
          </cell>
          <cell r="J1" t="str">
            <v>Over_65_Vacc</v>
          </cell>
          <cell r="K1" t="str">
            <v>Over_65_Vacc_Percent</v>
          </cell>
          <cell r="L1" t="str">
            <v>Total_Population</v>
          </cell>
          <cell r="M1" t="str">
            <v>Population_Density</v>
          </cell>
          <cell r="N1" t="str">
            <v>Avg_HH_Size</v>
          </cell>
          <cell r="O1" t="str">
            <v>Percent_Uninsured</v>
          </cell>
          <cell r="P1" t="str">
            <v>Poverty Rate</v>
          </cell>
          <cell r="Q1" t="str">
            <v>Over_65</v>
          </cell>
        </row>
        <row r="2">
          <cell r="A2">
            <v>1</v>
          </cell>
          <cell r="B2" t="str">
            <v>Alachua</v>
          </cell>
          <cell r="C2" t="str">
            <v>high</v>
          </cell>
          <cell r="D2">
            <v>44308</v>
          </cell>
          <cell r="E2">
            <v>112.99</v>
          </cell>
          <cell r="F2">
            <v>77333</v>
          </cell>
          <cell r="G2">
            <v>0.28699999999999998</v>
          </cell>
          <cell r="H2">
            <v>77251</v>
          </cell>
          <cell r="I2">
            <v>0.35</v>
          </cell>
          <cell r="J2">
            <v>31509</v>
          </cell>
          <cell r="K2">
            <v>0.80200000000000005</v>
          </cell>
          <cell r="L2">
            <v>269043</v>
          </cell>
          <cell r="M2">
            <v>307.29000000000002</v>
          </cell>
          <cell r="N2">
            <v>2.54</v>
          </cell>
          <cell r="O2">
            <v>9.1999999999999993</v>
          </cell>
          <cell r="P2">
            <v>21.8</v>
          </cell>
          <cell r="Q2">
            <v>14.6</v>
          </cell>
        </row>
        <row r="3">
          <cell r="A3">
            <v>2</v>
          </cell>
          <cell r="B3" t="str">
            <v>Baker</v>
          </cell>
          <cell r="C3" t="str">
            <v>high</v>
          </cell>
          <cell r="D3">
            <v>44308</v>
          </cell>
          <cell r="E3">
            <v>123.25</v>
          </cell>
          <cell r="F3">
            <v>3634</v>
          </cell>
          <cell r="G3">
            <v>0.124</v>
          </cell>
          <cell r="H3">
            <v>3634</v>
          </cell>
          <cell r="I3">
            <v>0.16300000000000001</v>
          </cell>
          <cell r="J3">
            <v>2208</v>
          </cell>
          <cell r="K3">
            <v>0.53600000000000003</v>
          </cell>
          <cell r="L3">
            <v>29210</v>
          </cell>
          <cell r="M3">
            <v>49.91</v>
          </cell>
          <cell r="N3">
            <v>2.92</v>
          </cell>
          <cell r="O3">
            <v>12.5</v>
          </cell>
          <cell r="P3">
            <v>14.6</v>
          </cell>
          <cell r="Q3">
            <v>14.09</v>
          </cell>
        </row>
        <row r="4">
          <cell r="A4">
            <v>3</v>
          </cell>
          <cell r="B4" t="str">
            <v>Bay</v>
          </cell>
          <cell r="C4" t="str">
            <v>substantial</v>
          </cell>
          <cell r="D4">
            <v>44308</v>
          </cell>
          <cell r="E4">
            <v>84.71</v>
          </cell>
          <cell r="F4">
            <v>37092</v>
          </cell>
          <cell r="G4">
            <v>0.21199999999999999</v>
          </cell>
          <cell r="H4">
            <v>37069</v>
          </cell>
          <cell r="I4">
            <v>0.26700000000000002</v>
          </cell>
          <cell r="J4">
            <v>19198</v>
          </cell>
          <cell r="K4">
            <v>0.59</v>
          </cell>
          <cell r="L4">
            <v>174705</v>
          </cell>
          <cell r="M4">
            <v>230.3</v>
          </cell>
          <cell r="N4">
            <v>2.57</v>
          </cell>
          <cell r="O4">
            <v>14.2</v>
          </cell>
          <cell r="P4">
            <v>14.7</v>
          </cell>
          <cell r="Q4">
            <v>18.62</v>
          </cell>
        </row>
        <row r="5">
          <cell r="A5">
            <v>4</v>
          </cell>
          <cell r="B5" t="str">
            <v>Bradford</v>
          </cell>
          <cell r="C5" t="str">
            <v>moderate</v>
          </cell>
          <cell r="D5">
            <v>44308</v>
          </cell>
          <cell r="E5">
            <v>42.55</v>
          </cell>
          <cell r="F5">
            <v>3968</v>
          </cell>
          <cell r="G5">
            <v>0.14099999999999999</v>
          </cell>
          <cell r="H5">
            <v>3968</v>
          </cell>
          <cell r="I5">
            <v>0.17499999999999999</v>
          </cell>
          <cell r="J5">
            <v>2549</v>
          </cell>
          <cell r="K5">
            <v>0.503</v>
          </cell>
          <cell r="L5">
            <v>28201</v>
          </cell>
          <cell r="M5">
            <v>95.93</v>
          </cell>
          <cell r="N5">
            <v>2.6</v>
          </cell>
          <cell r="O5">
            <v>12.4</v>
          </cell>
          <cell r="P5">
            <v>20.3</v>
          </cell>
          <cell r="Q5">
            <v>17.96</v>
          </cell>
        </row>
        <row r="6">
          <cell r="A6">
            <v>5</v>
          </cell>
          <cell r="B6" t="str">
            <v>Brevard</v>
          </cell>
          <cell r="C6" t="str">
            <v>high</v>
          </cell>
          <cell r="D6">
            <v>44308</v>
          </cell>
          <cell r="E6">
            <v>151.84</v>
          </cell>
          <cell r="F6">
            <v>152141</v>
          </cell>
          <cell r="G6">
            <v>0.253</v>
          </cell>
          <cell r="H6">
            <v>152061</v>
          </cell>
          <cell r="I6">
            <v>0.309</v>
          </cell>
          <cell r="J6">
            <v>92848</v>
          </cell>
          <cell r="K6">
            <v>0.63700000000000001</v>
          </cell>
          <cell r="L6">
            <v>601942</v>
          </cell>
          <cell r="M6">
            <v>593.05999999999995</v>
          </cell>
          <cell r="N6">
            <v>2.4900000000000002</v>
          </cell>
          <cell r="O6">
            <v>10.8</v>
          </cell>
          <cell r="P6">
            <v>12.7</v>
          </cell>
          <cell r="Q6">
            <v>24.21</v>
          </cell>
        </row>
        <row r="7">
          <cell r="A7">
            <v>6</v>
          </cell>
          <cell r="B7" t="str">
            <v>Broward</v>
          </cell>
          <cell r="C7" t="str">
            <v>high</v>
          </cell>
          <cell r="D7">
            <v>44308</v>
          </cell>
          <cell r="E7">
            <v>260.91000000000003</v>
          </cell>
          <cell r="F7">
            <v>481336</v>
          </cell>
          <cell r="G7">
            <v>0.246</v>
          </cell>
          <cell r="H7">
            <v>480348</v>
          </cell>
          <cell r="I7">
            <v>0.311</v>
          </cell>
          <cell r="J7">
            <v>220286</v>
          </cell>
          <cell r="K7">
            <v>0.65800000000000003</v>
          </cell>
          <cell r="L7">
            <v>1952778</v>
          </cell>
          <cell r="M7">
            <v>1623.5</v>
          </cell>
          <cell r="N7">
            <v>2.77</v>
          </cell>
          <cell r="O7">
            <v>14.6</v>
          </cell>
          <cell r="P7">
            <v>13.5</v>
          </cell>
          <cell r="Q7">
            <v>17.13</v>
          </cell>
        </row>
        <row r="8">
          <cell r="A8">
            <v>7</v>
          </cell>
          <cell r="B8" t="str">
            <v>Calhoun</v>
          </cell>
          <cell r="C8" t="str">
            <v>moderate</v>
          </cell>
          <cell r="D8">
            <v>44308</v>
          </cell>
          <cell r="E8" t="str">
            <v>suppressed</v>
          </cell>
          <cell r="F8">
            <v>2111</v>
          </cell>
          <cell r="G8">
            <v>0.15</v>
          </cell>
          <cell r="H8">
            <v>2111</v>
          </cell>
          <cell r="I8">
            <v>0.187</v>
          </cell>
          <cell r="J8">
            <v>1397</v>
          </cell>
          <cell r="K8">
            <v>0.52300000000000002</v>
          </cell>
          <cell r="L8">
            <v>14105</v>
          </cell>
          <cell r="M8">
            <v>24.86</v>
          </cell>
          <cell r="N8">
            <v>2.73</v>
          </cell>
          <cell r="O8">
            <v>18.3</v>
          </cell>
          <cell r="P8">
            <v>12.2</v>
          </cell>
          <cell r="Q8">
            <v>18.93</v>
          </cell>
        </row>
        <row r="9">
          <cell r="A9">
            <v>8</v>
          </cell>
          <cell r="B9" t="str">
            <v>Charlotte</v>
          </cell>
          <cell r="C9" t="str">
            <v>high</v>
          </cell>
          <cell r="D9">
            <v>44308</v>
          </cell>
          <cell r="E9">
            <v>133.93</v>
          </cell>
          <cell r="F9">
            <v>65886</v>
          </cell>
          <cell r="G9">
            <v>0.34899999999999998</v>
          </cell>
          <cell r="H9">
            <v>65857</v>
          </cell>
          <cell r="I9">
            <v>0.39500000000000002</v>
          </cell>
          <cell r="J9">
            <v>51917</v>
          </cell>
          <cell r="K9">
            <v>0.67400000000000004</v>
          </cell>
          <cell r="L9">
            <v>188910</v>
          </cell>
          <cell r="M9">
            <v>277.36</v>
          </cell>
          <cell r="N9">
            <v>2.2799999999999998</v>
          </cell>
          <cell r="O9">
            <v>11.3</v>
          </cell>
          <cell r="P9">
            <v>11.1</v>
          </cell>
          <cell r="Q9">
            <v>40.799999999999997</v>
          </cell>
        </row>
        <row r="10">
          <cell r="A10">
            <v>9</v>
          </cell>
          <cell r="B10" t="str">
            <v>Citrus</v>
          </cell>
          <cell r="C10" t="str">
            <v>high</v>
          </cell>
          <cell r="D10">
            <v>44308</v>
          </cell>
          <cell r="E10">
            <v>122.28</v>
          </cell>
          <cell r="F10">
            <v>42441</v>
          </cell>
          <cell r="G10">
            <v>0.28399999999999997</v>
          </cell>
          <cell r="H10">
            <v>42434</v>
          </cell>
          <cell r="I10">
            <v>0.33200000000000002</v>
          </cell>
          <cell r="J10">
            <v>33606</v>
          </cell>
          <cell r="K10">
            <v>0.61199999999999999</v>
          </cell>
          <cell r="L10">
            <v>149657</v>
          </cell>
          <cell r="M10">
            <v>257.18</v>
          </cell>
          <cell r="N10">
            <v>2.2400000000000002</v>
          </cell>
          <cell r="O10">
            <v>10.4</v>
          </cell>
          <cell r="P10">
            <v>16.7</v>
          </cell>
          <cell r="Q10">
            <v>36.71</v>
          </cell>
        </row>
        <row r="11">
          <cell r="A11">
            <v>10</v>
          </cell>
          <cell r="B11" t="str">
            <v>Clay</v>
          </cell>
          <cell r="C11" t="str">
            <v>high</v>
          </cell>
          <cell r="D11">
            <v>44308</v>
          </cell>
          <cell r="E11">
            <v>143.21</v>
          </cell>
          <cell r="F11">
            <v>40733</v>
          </cell>
          <cell r="G11">
            <v>0.186</v>
          </cell>
          <cell r="H11">
            <v>40696</v>
          </cell>
          <cell r="I11">
            <v>0.24099999999999999</v>
          </cell>
          <cell r="J11">
            <v>20768</v>
          </cell>
          <cell r="K11">
            <v>0.57899999999999996</v>
          </cell>
          <cell r="L11">
            <v>219252</v>
          </cell>
          <cell r="M11">
            <v>362.63</v>
          </cell>
          <cell r="N11">
            <v>2.81</v>
          </cell>
          <cell r="O11">
            <v>10.4</v>
          </cell>
          <cell r="P11">
            <v>10.6</v>
          </cell>
          <cell r="Q11">
            <v>16.350000000000001</v>
          </cell>
        </row>
        <row r="12">
          <cell r="A12">
            <v>11</v>
          </cell>
          <cell r="B12" t="str">
            <v>Collier</v>
          </cell>
          <cell r="C12" t="str">
            <v>high</v>
          </cell>
          <cell r="D12">
            <v>44308</v>
          </cell>
          <cell r="E12">
            <v>172.77</v>
          </cell>
          <cell r="F12">
            <v>123077</v>
          </cell>
          <cell r="G12">
            <v>0.32</v>
          </cell>
          <cell r="H12">
            <v>123035</v>
          </cell>
          <cell r="I12">
            <v>0.38400000000000001</v>
          </cell>
          <cell r="J12">
            <v>92202</v>
          </cell>
          <cell r="K12">
            <v>0.72799999999999998</v>
          </cell>
          <cell r="L12">
            <v>384902</v>
          </cell>
          <cell r="M12">
            <v>192.75</v>
          </cell>
          <cell r="N12">
            <v>2.5499999999999998</v>
          </cell>
          <cell r="O12">
            <v>16.5</v>
          </cell>
          <cell r="P12">
            <v>12.3</v>
          </cell>
          <cell r="Q12">
            <v>32.92</v>
          </cell>
        </row>
        <row r="13">
          <cell r="A13">
            <v>12</v>
          </cell>
          <cell r="B13" t="str">
            <v>Columbia</v>
          </cell>
          <cell r="C13" t="str">
            <v>substantial</v>
          </cell>
          <cell r="D13">
            <v>44308</v>
          </cell>
          <cell r="E13">
            <v>68.349999999999994</v>
          </cell>
          <cell r="F13">
            <v>12811</v>
          </cell>
          <cell r="G13">
            <v>0.17899999999999999</v>
          </cell>
          <cell r="H13">
            <v>12807</v>
          </cell>
          <cell r="I13">
            <v>0.22800000000000001</v>
          </cell>
          <cell r="J13">
            <v>7791</v>
          </cell>
          <cell r="K13">
            <v>0.56399999999999995</v>
          </cell>
          <cell r="L13">
            <v>71686</v>
          </cell>
          <cell r="M13">
            <v>89.88</v>
          </cell>
          <cell r="N13">
            <v>2.57</v>
          </cell>
          <cell r="O13">
            <v>12.4</v>
          </cell>
          <cell r="P13">
            <v>17.399999999999999</v>
          </cell>
          <cell r="Q13">
            <v>19.260000000000002</v>
          </cell>
        </row>
        <row r="14">
          <cell r="A14">
            <v>13</v>
          </cell>
          <cell r="B14" t="str">
            <v>DeSoto</v>
          </cell>
          <cell r="C14" t="str">
            <v>high</v>
          </cell>
          <cell r="D14">
            <v>44308</v>
          </cell>
          <cell r="E14">
            <v>155.26</v>
          </cell>
          <cell r="F14">
            <v>6213</v>
          </cell>
          <cell r="G14">
            <v>0.16300000000000001</v>
          </cell>
          <cell r="H14">
            <v>6213</v>
          </cell>
          <cell r="I14">
            <v>0.20100000000000001</v>
          </cell>
          <cell r="J14">
            <v>4575</v>
          </cell>
          <cell r="K14">
            <v>0.53500000000000003</v>
          </cell>
          <cell r="L14">
            <v>38001</v>
          </cell>
          <cell r="M14">
            <v>59.68</v>
          </cell>
          <cell r="N14">
            <v>2.74</v>
          </cell>
          <cell r="O14">
            <v>18.399999999999999</v>
          </cell>
          <cell r="P14">
            <v>28.5</v>
          </cell>
          <cell r="Q14">
            <v>22.52</v>
          </cell>
        </row>
        <row r="15">
          <cell r="A15">
            <v>14</v>
          </cell>
          <cell r="B15" t="str">
            <v>Dixie</v>
          </cell>
          <cell r="C15" t="str">
            <v>substantial</v>
          </cell>
          <cell r="D15">
            <v>44308</v>
          </cell>
          <cell r="E15">
            <v>65.38</v>
          </cell>
          <cell r="F15">
            <v>2543</v>
          </cell>
          <cell r="G15">
            <v>0.151</v>
          </cell>
          <cell r="H15">
            <v>2543</v>
          </cell>
          <cell r="I15">
            <v>0.185</v>
          </cell>
          <cell r="J15">
            <v>1893</v>
          </cell>
          <cell r="K15">
            <v>0.47499999999999998</v>
          </cell>
          <cell r="L15">
            <v>16826</v>
          </cell>
          <cell r="M15">
            <v>23.86</v>
          </cell>
          <cell r="N15">
            <v>2.2799999999999998</v>
          </cell>
          <cell r="O15">
            <v>17.2</v>
          </cell>
          <cell r="P15">
            <v>23.1</v>
          </cell>
          <cell r="Q15">
            <v>23.68</v>
          </cell>
        </row>
        <row r="16">
          <cell r="A16">
            <v>15</v>
          </cell>
          <cell r="B16" t="str">
            <v>Duval</v>
          </cell>
          <cell r="C16" t="str">
            <v>high</v>
          </cell>
          <cell r="D16">
            <v>44308</v>
          </cell>
          <cell r="E16">
            <v>121.74</v>
          </cell>
          <cell r="F16">
            <v>235811</v>
          </cell>
          <cell r="G16">
            <v>0.246</v>
          </cell>
          <cell r="H16">
            <v>235550</v>
          </cell>
          <cell r="I16">
            <v>0.317</v>
          </cell>
          <cell r="J16">
            <v>98055</v>
          </cell>
          <cell r="K16">
            <v>0.70699999999999996</v>
          </cell>
          <cell r="L16">
            <v>957755</v>
          </cell>
          <cell r="M16">
            <v>1255.8599999999999</v>
          </cell>
          <cell r="N16">
            <v>2.5499999999999998</v>
          </cell>
          <cell r="O16">
            <v>12</v>
          </cell>
          <cell r="P16">
            <v>15.5</v>
          </cell>
          <cell r="Q16">
            <v>14.47</v>
          </cell>
        </row>
        <row r="17">
          <cell r="A17">
            <v>16</v>
          </cell>
          <cell r="B17" t="str">
            <v>Escambia</v>
          </cell>
          <cell r="C17" t="str">
            <v>substantial</v>
          </cell>
          <cell r="D17">
            <v>44308</v>
          </cell>
          <cell r="E17">
            <v>83.56</v>
          </cell>
          <cell r="F17">
            <v>73014</v>
          </cell>
          <cell r="G17">
            <v>0.22900000000000001</v>
          </cell>
          <cell r="H17">
            <v>72975</v>
          </cell>
          <cell r="I17">
            <v>0.28899999999999998</v>
          </cell>
          <cell r="J17">
            <v>36158</v>
          </cell>
          <cell r="K17">
            <v>0.66300000000000003</v>
          </cell>
          <cell r="L17">
            <v>318316</v>
          </cell>
          <cell r="M17">
            <v>484.52</v>
          </cell>
          <cell r="N17">
            <v>2.4700000000000002</v>
          </cell>
          <cell r="O17">
            <v>10.199999999999999</v>
          </cell>
          <cell r="P17">
            <v>13.9</v>
          </cell>
          <cell r="Q17">
            <v>17.14</v>
          </cell>
        </row>
        <row r="18">
          <cell r="A18">
            <v>17</v>
          </cell>
          <cell r="B18" t="str">
            <v>Flagler</v>
          </cell>
          <cell r="C18" t="str">
            <v>high</v>
          </cell>
          <cell r="D18">
            <v>44308</v>
          </cell>
          <cell r="E18">
            <v>122.52</v>
          </cell>
          <cell r="F18">
            <v>34614</v>
          </cell>
          <cell r="G18">
            <v>0.30099999999999999</v>
          </cell>
          <cell r="H18">
            <v>34604</v>
          </cell>
          <cell r="I18">
            <v>0.36099999999999999</v>
          </cell>
          <cell r="J18">
            <v>24991</v>
          </cell>
          <cell r="K18">
            <v>0.69599999999999995</v>
          </cell>
          <cell r="L18">
            <v>115081</v>
          </cell>
          <cell r="M18">
            <v>237.21</v>
          </cell>
          <cell r="N18">
            <v>2.62</v>
          </cell>
          <cell r="O18">
            <v>12.7</v>
          </cell>
          <cell r="P18">
            <v>11.9</v>
          </cell>
          <cell r="Q18">
            <v>31.19</v>
          </cell>
        </row>
        <row r="19">
          <cell r="A19">
            <v>18</v>
          </cell>
          <cell r="B19" t="str">
            <v>Franklin</v>
          </cell>
          <cell r="C19" t="str">
            <v>substantial</v>
          </cell>
          <cell r="D19">
            <v>44308</v>
          </cell>
          <cell r="E19" t="str">
            <v>suppressed</v>
          </cell>
          <cell r="F19">
            <v>3015</v>
          </cell>
          <cell r="G19">
            <v>0.249</v>
          </cell>
          <cell r="H19">
            <v>3015</v>
          </cell>
          <cell r="I19">
            <v>0.29399999999999998</v>
          </cell>
          <cell r="J19">
            <v>2067</v>
          </cell>
          <cell r="K19">
            <v>0.70599999999999996</v>
          </cell>
          <cell r="L19">
            <v>12125</v>
          </cell>
          <cell r="M19">
            <v>22.24</v>
          </cell>
          <cell r="N19">
            <v>2.35</v>
          </cell>
          <cell r="O19">
            <v>18.3</v>
          </cell>
          <cell r="P19">
            <v>20.7</v>
          </cell>
          <cell r="Q19">
            <v>24.13</v>
          </cell>
        </row>
        <row r="20">
          <cell r="A20">
            <v>19</v>
          </cell>
          <cell r="B20" t="str">
            <v>Gadsden</v>
          </cell>
          <cell r="C20" t="str">
            <v>substantial</v>
          </cell>
          <cell r="D20">
            <v>44308</v>
          </cell>
          <cell r="E20">
            <v>59.13</v>
          </cell>
          <cell r="F20">
            <v>11756</v>
          </cell>
          <cell r="G20">
            <v>0.25700000000000001</v>
          </cell>
          <cell r="H20">
            <v>11748</v>
          </cell>
          <cell r="I20">
            <v>0.32800000000000001</v>
          </cell>
          <cell r="J20">
            <v>6008</v>
          </cell>
          <cell r="K20">
            <v>0.70399999999999996</v>
          </cell>
          <cell r="L20">
            <v>45660</v>
          </cell>
          <cell r="M20">
            <v>88.44</v>
          </cell>
          <cell r="N20">
            <v>2.4700000000000002</v>
          </cell>
          <cell r="O20">
            <v>14.9</v>
          </cell>
          <cell r="P20">
            <v>24.6</v>
          </cell>
          <cell r="Q20">
            <v>18.7</v>
          </cell>
        </row>
        <row r="21">
          <cell r="A21">
            <v>20</v>
          </cell>
          <cell r="B21" t="str">
            <v>Gilchrist</v>
          </cell>
          <cell r="C21" t="str">
            <v>high</v>
          </cell>
          <cell r="D21">
            <v>44308</v>
          </cell>
          <cell r="E21">
            <v>166.83</v>
          </cell>
          <cell r="F21">
            <v>2824</v>
          </cell>
          <cell r="G21">
            <v>0.152</v>
          </cell>
          <cell r="H21">
            <v>2822</v>
          </cell>
          <cell r="I21">
            <v>0.19</v>
          </cell>
          <cell r="J21">
            <v>1847</v>
          </cell>
          <cell r="K21">
            <v>0.48099999999999998</v>
          </cell>
          <cell r="L21">
            <v>18582</v>
          </cell>
          <cell r="M21">
            <v>53.14</v>
          </cell>
          <cell r="N21">
            <v>2.5</v>
          </cell>
          <cell r="O21">
            <v>18.100000000000001</v>
          </cell>
          <cell r="P21">
            <v>17.899999999999999</v>
          </cell>
          <cell r="Q21">
            <v>20.65</v>
          </cell>
        </row>
        <row r="22">
          <cell r="A22">
            <v>21</v>
          </cell>
          <cell r="B22" t="str">
            <v>Glades</v>
          </cell>
          <cell r="C22" t="str">
            <v>substantial</v>
          </cell>
          <cell r="D22">
            <v>44308</v>
          </cell>
          <cell r="E22" t="str">
            <v>suppressed</v>
          </cell>
          <cell r="F22">
            <v>1928</v>
          </cell>
          <cell r="G22">
            <v>0.14000000000000001</v>
          </cell>
          <cell r="H22">
            <v>1928</v>
          </cell>
          <cell r="I22">
            <v>0.16300000000000001</v>
          </cell>
          <cell r="J22">
            <v>1359</v>
          </cell>
          <cell r="K22">
            <v>0.35699999999999998</v>
          </cell>
          <cell r="L22">
            <v>13811</v>
          </cell>
          <cell r="M22">
            <v>17.12</v>
          </cell>
          <cell r="N22">
            <v>2.71</v>
          </cell>
          <cell r="O22">
            <v>19.899999999999999</v>
          </cell>
          <cell r="P22">
            <v>17</v>
          </cell>
          <cell r="Q22">
            <v>27.57</v>
          </cell>
        </row>
        <row r="23">
          <cell r="A23">
            <v>22</v>
          </cell>
          <cell r="B23" t="str">
            <v>Gulf</v>
          </cell>
          <cell r="C23" t="str">
            <v>moderate</v>
          </cell>
          <cell r="D23">
            <v>44308</v>
          </cell>
          <cell r="E23" t="str">
            <v>suppressed</v>
          </cell>
          <cell r="F23">
            <v>3267</v>
          </cell>
          <cell r="G23">
            <v>0.24</v>
          </cell>
          <cell r="H23">
            <v>3267</v>
          </cell>
          <cell r="I23">
            <v>0.29299999999999998</v>
          </cell>
          <cell r="J23">
            <v>2321</v>
          </cell>
          <cell r="K23">
            <v>0.64200000000000002</v>
          </cell>
          <cell r="L23">
            <v>13639</v>
          </cell>
          <cell r="M23">
            <v>24.64</v>
          </cell>
          <cell r="N23">
            <v>2.5499999999999998</v>
          </cell>
          <cell r="O23">
            <v>11.4</v>
          </cell>
          <cell r="P23">
            <v>13.9</v>
          </cell>
          <cell r="Q23">
            <v>26.5</v>
          </cell>
        </row>
        <row r="24">
          <cell r="A24">
            <v>23</v>
          </cell>
          <cell r="B24" t="str">
            <v>Hamilton</v>
          </cell>
          <cell r="C24" t="str">
            <v>high</v>
          </cell>
          <cell r="D24">
            <v>44308</v>
          </cell>
          <cell r="E24">
            <v>103.96</v>
          </cell>
          <cell r="F24">
            <v>2293</v>
          </cell>
          <cell r="G24">
            <v>0.159</v>
          </cell>
          <cell r="H24">
            <v>2293</v>
          </cell>
          <cell r="I24">
            <v>0.19600000000000001</v>
          </cell>
          <cell r="J24">
            <v>1509</v>
          </cell>
          <cell r="K24">
            <v>0.56599999999999995</v>
          </cell>
          <cell r="L24">
            <v>14428</v>
          </cell>
          <cell r="M24">
            <v>28.08</v>
          </cell>
          <cell r="N24">
            <v>2.44</v>
          </cell>
          <cell r="O24">
            <v>14.3</v>
          </cell>
          <cell r="P24">
            <v>29.5</v>
          </cell>
          <cell r="Q24">
            <v>18.46</v>
          </cell>
        </row>
        <row r="25">
          <cell r="A25">
            <v>24</v>
          </cell>
          <cell r="B25" t="str">
            <v>Hardee</v>
          </cell>
          <cell r="C25" t="str">
            <v>high</v>
          </cell>
          <cell r="D25">
            <v>44308</v>
          </cell>
          <cell r="E25">
            <v>193.04</v>
          </cell>
          <cell r="F25">
            <v>3285</v>
          </cell>
          <cell r="G25">
            <v>0.122</v>
          </cell>
          <cell r="H25">
            <v>3284</v>
          </cell>
          <cell r="I25">
            <v>0.16400000000000001</v>
          </cell>
          <cell r="J25">
            <v>2382</v>
          </cell>
          <cell r="K25">
            <v>0.50700000000000001</v>
          </cell>
          <cell r="L25">
            <v>26937</v>
          </cell>
          <cell r="M25">
            <v>42.25</v>
          </cell>
          <cell r="N25">
            <v>3.22</v>
          </cell>
          <cell r="O25">
            <v>12.2</v>
          </cell>
          <cell r="P25">
            <v>26.7</v>
          </cell>
          <cell r="Q25">
            <v>17.43</v>
          </cell>
        </row>
        <row r="26">
          <cell r="A26">
            <v>25</v>
          </cell>
          <cell r="B26" t="str">
            <v>Hendry</v>
          </cell>
          <cell r="C26" t="str">
            <v>high</v>
          </cell>
          <cell r="D26">
            <v>44308</v>
          </cell>
          <cell r="E26">
            <v>107.09</v>
          </cell>
          <cell r="F26">
            <v>6498</v>
          </cell>
          <cell r="G26">
            <v>0.155</v>
          </cell>
          <cell r="H26">
            <v>6495</v>
          </cell>
          <cell r="I26">
            <v>0.21099999999999999</v>
          </cell>
          <cell r="J26">
            <v>3625</v>
          </cell>
          <cell r="K26">
            <v>0.627</v>
          </cell>
          <cell r="L26">
            <v>42022</v>
          </cell>
          <cell r="M26">
            <v>36.340000000000003</v>
          </cell>
          <cell r="N26">
            <v>3.17</v>
          </cell>
          <cell r="O26">
            <v>26.2</v>
          </cell>
          <cell r="P26">
            <v>26.8</v>
          </cell>
          <cell r="Q26">
            <v>13.75</v>
          </cell>
        </row>
        <row r="27">
          <cell r="A27">
            <v>26</v>
          </cell>
          <cell r="B27" t="str">
            <v>Hernando</v>
          </cell>
          <cell r="C27" t="str">
            <v>high</v>
          </cell>
          <cell r="D27">
            <v>44308</v>
          </cell>
          <cell r="E27">
            <v>191.83</v>
          </cell>
          <cell r="F27">
            <v>45410</v>
          </cell>
          <cell r="G27">
            <v>0.23400000000000001</v>
          </cell>
          <cell r="H27">
            <v>45389</v>
          </cell>
          <cell r="I27">
            <v>0.28599999999999998</v>
          </cell>
          <cell r="J27">
            <v>31682</v>
          </cell>
          <cell r="K27">
            <v>0.59399999999999997</v>
          </cell>
          <cell r="L27">
            <v>193920</v>
          </cell>
          <cell r="M27">
            <v>410.01</v>
          </cell>
          <cell r="N27">
            <v>2.46</v>
          </cell>
          <cell r="O27">
            <v>12.6</v>
          </cell>
          <cell r="P27">
            <v>14.3</v>
          </cell>
          <cell r="Q27">
            <v>27.51</v>
          </cell>
        </row>
        <row r="28">
          <cell r="A28">
            <v>27</v>
          </cell>
          <cell r="B28" t="str">
            <v>Highlands</v>
          </cell>
          <cell r="C28" t="str">
            <v>high</v>
          </cell>
          <cell r="D28">
            <v>44308</v>
          </cell>
          <cell r="E28">
            <v>194.88</v>
          </cell>
          <cell r="F28">
            <v>25331</v>
          </cell>
          <cell r="G28">
            <v>0.23799999999999999</v>
          </cell>
          <cell r="H28">
            <v>25328</v>
          </cell>
          <cell r="I28">
            <v>0.28699999999999998</v>
          </cell>
          <cell r="J28">
            <v>20048</v>
          </cell>
          <cell r="K28">
            <v>0.52400000000000002</v>
          </cell>
          <cell r="L28">
            <v>106221</v>
          </cell>
          <cell r="M28">
            <v>104.38</v>
          </cell>
          <cell r="N28">
            <v>2.44</v>
          </cell>
          <cell r="O28">
            <v>12.7</v>
          </cell>
          <cell r="P28">
            <v>19.2</v>
          </cell>
          <cell r="Q28">
            <v>36.049999999999997</v>
          </cell>
        </row>
        <row r="29">
          <cell r="A29">
            <v>28</v>
          </cell>
          <cell r="B29" t="str">
            <v>Hillsborough</v>
          </cell>
          <cell r="C29" t="str">
            <v>high</v>
          </cell>
          <cell r="D29">
            <v>44308</v>
          </cell>
          <cell r="E29">
            <v>231.32</v>
          </cell>
          <cell r="F29">
            <v>325442</v>
          </cell>
          <cell r="G29">
            <v>0.221</v>
          </cell>
          <cell r="H29">
            <v>325095</v>
          </cell>
          <cell r="I29">
            <v>0.28299999999999997</v>
          </cell>
          <cell r="J29">
            <v>130027</v>
          </cell>
          <cell r="K29">
            <v>0.60799999999999998</v>
          </cell>
          <cell r="L29">
            <v>1471968</v>
          </cell>
          <cell r="M29">
            <v>1440.39</v>
          </cell>
          <cell r="N29">
            <v>2.63</v>
          </cell>
          <cell r="O29">
            <v>13</v>
          </cell>
          <cell r="P29">
            <v>15.3</v>
          </cell>
          <cell r="Q29">
            <v>14.54</v>
          </cell>
        </row>
        <row r="30">
          <cell r="A30">
            <v>29</v>
          </cell>
          <cell r="B30" t="str">
            <v>Holmes</v>
          </cell>
          <cell r="C30" t="str">
            <v>moderate</v>
          </cell>
          <cell r="D30">
            <v>44308</v>
          </cell>
          <cell r="E30" t="str">
            <v>suppressed</v>
          </cell>
          <cell r="F30">
            <v>2561</v>
          </cell>
          <cell r="G30">
            <v>0.13100000000000001</v>
          </cell>
          <cell r="H30">
            <v>2560</v>
          </cell>
          <cell r="I30">
            <v>0.16400000000000001</v>
          </cell>
          <cell r="J30">
            <v>1717</v>
          </cell>
          <cell r="K30">
            <v>0.438</v>
          </cell>
          <cell r="L30">
            <v>19617</v>
          </cell>
          <cell r="M30">
            <v>40.97</v>
          </cell>
          <cell r="N30">
            <v>2.5099999999999998</v>
          </cell>
          <cell r="O30">
            <v>18.899999999999999</v>
          </cell>
          <cell r="P30">
            <v>25.6</v>
          </cell>
          <cell r="Q30">
            <v>19.989999999999998</v>
          </cell>
        </row>
        <row r="31">
          <cell r="A31">
            <v>30</v>
          </cell>
          <cell r="B31" t="str">
            <v>Indian River</v>
          </cell>
          <cell r="C31" t="str">
            <v>high</v>
          </cell>
          <cell r="D31">
            <v>44308</v>
          </cell>
          <cell r="E31">
            <v>103.17</v>
          </cell>
          <cell r="F31">
            <v>48487</v>
          </cell>
          <cell r="G31">
            <v>0.30299999999999999</v>
          </cell>
          <cell r="H31">
            <v>48471</v>
          </cell>
          <cell r="I31">
            <v>0.35899999999999999</v>
          </cell>
          <cell r="J31">
            <v>36535</v>
          </cell>
          <cell r="K31">
            <v>0.67500000000000004</v>
          </cell>
          <cell r="L31">
            <v>159923</v>
          </cell>
          <cell r="M31">
            <v>318.08</v>
          </cell>
          <cell r="N31">
            <v>2.6</v>
          </cell>
          <cell r="O31">
            <v>12.1</v>
          </cell>
          <cell r="P31">
            <v>12.2</v>
          </cell>
          <cell r="Q31">
            <v>33.85</v>
          </cell>
        </row>
        <row r="32">
          <cell r="A32">
            <v>31</v>
          </cell>
          <cell r="B32" t="str">
            <v>Jackson</v>
          </cell>
          <cell r="C32" t="str">
            <v>substantial</v>
          </cell>
          <cell r="D32">
            <v>44308</v>
          </cell>
          <cell r="E32">
            <v>60.33</v>
          </cell>
          <cell r="F32">
            <v>8687</v>
          </cell>
          <cell r="G32">
            <v>0.187</v>
          </cell>
          <cell r="H32">
            <v>8686</v>
          </cell>
          <cell r="I32">
            <v>0.23100000000000001</v>
          </cell>
          <cell r="J32">
            <v>5204</v>
          </cell>
          <cell r="K32">
            <v>0.54400000000000004</v>
          </cell>
          <cell r="L32">
            <v>46414</v>
          </cell>
          <cell r="M32">
            <v>50.55</v>
          </cell>
          <cell r="N32">
            <v>2.4</v>
          </cell>
          <cell r="O32">
            <v>11.3</v>
          </cell>
          <cell r="P32">
            <v>20.6</v>
          </cell>
          <cell r="Q32">
            <v>20.62</v>
          </cell>
        </row>
        <row r="33">
          <cell r="A33">
            <v>32</v>
          </cell>
          <cell r="B33" t="str">
            <v>Jefferson</v>
          </cell>
          <cell r="C33" t="str">
            <v>high</v>
          </cell>
          <cell r="D33">
            <v>44308</v>
          </cell>
          <cell r="E33">
            <v>112.31</v>
          </cell>
          <cell r="F33">
            <v>4484</v>
          </cell>
          <cell r="G33">
            <v>0.315</v>
          </cell>
          <cell r="H33">
            <v>4484</v>
          </cell>
          <cell r="I33">
            <v>0.377</v>
          </cell>
          <cell r="J33">
            <v>3188</v>
          </cell>
          <cell r="K33">
            <v>0.90800000000000003</v>
          </cell>
          <cell r="L33">
            <v>14246</v>
          </cell>
          <cell r="M33">
            <v>23.82</v>
          </cell>
          <cell r="N33">
            <v>2.04</v>
          </cell>
          <cell r="O33">
            <v>6.4</v>
          </cell>
          <cell r="P33">
            <v>14.1</v>
          </cell>
          <cell r="Q33">
            <v>24.65</v>
          </cell>
        </row>
        <row r="34">
          <cell r="A34">
            <v>33</v>
          </cell>
          <cell r="B34" t="str">
            <v>Lafayette</v>
          </cell>
          <cell r="C34" t="str">
            <v>moderate</v>
          </cell>
          <cell r="D34">
            <v>44308</v>
          </cell>
          <cell r="E34" t="str">
            <v>suppressed</v>
          </cell>
          <cell r="F34">
            <v>1351</v>
          </cell>
          <cell r="G34">
            <v>0.16</v>
          </cell>
          <cell r="H34">
            <v>1351</v>
          </cell>
          <cell r="I34">
            <v>0.2</v>
          </cell>
          <cell r="J34">
            <v>1065</v>
          </cell>
          <cell r="K34">
            <v>0.73199999999999998</v>
          </cell>
          <cell r="L34">
            <v>8422</v>
          </cell>
          <cell r="M34">
            <v>15.5</v>
          </cell>
          <cell r="N34">
            <v>3.43</v>
          </cell>
          <cell r="O34">
            <v>17.600000000000001</v>
          </cell>
          <cell r="P34">
            <v>20.100000000000001</v>
          </cell>
          <cell r="Q34">
            <v>17.28</v>
          </cell>
        </row>
        <row r="35">
          <cell r="A35">
            <v>34</v>
          </cell>
          <cell r="B35" t="str">
            <v>Lake</v>
          </cell>
          <cell r="C35" t="str">
            <v>high</v>
          </cell>
          <cell r="D35">
            <v>44308</v>
          </cell>
          <cell r="E35">
            <v>189.04</v>
          </cell>
          <cell r="F35">
            <v>112033</v>
          </cell>
          <cell r="G35">
            <v>0.30499999999999999</v>
          </cell>
          <cell r="H35">
            <v>111934</v>
          </cell>
          <cell r="I35">
            <v>0.376</v>
          </cell>
          <cell r="J35">
            <v>76168</v>
          </cell>
          <cell r="K35">
            <v>0.76600000000000001</v>
          </cell>
          <cell r="L35">
            <v>367118</v>
          </cell>
          <cell r="M35">
            <v>386.13</v>
          </cell>
          <cell r="N35">
            <v>2.5499999999999998</v>
          </cell>
          <cell r="O35">
            <v>11.6</v>
          </cell>
          <cell r="P35">
            <v>12.5</v>
          </cell>
          <cell r="Q35">
            <v>27.07</v>
          </cell>
        </row>
        <row r="36">
          <cell r="A36">
            <v>35</v>
          </cell>
          <cell r="B36" t="str">
            <v>Lee</v>
          </cell>
          <cell r="C36" t="str">
            <v>high</v>
          </cell>
          <cell r="D36">
            <v>44308</v>
          </cell>
          <cell r="E36">
            <v>213.09</v>
          </cell>
          <cell r="F36">
            <v>199258</v>
          </cell>
          <cell r="G36">
            <v>0.25900000000000001</v>
          </cell>
          <cell r="H36">
            <v>199212</v>
          </cell>
          <cell r="I36">
            <v>0.313</v>
          </cell>
          <cell r="J36">
            <v>146558</v>
          </cell>
          <cell r="K36">
            <v>0.65200000000000002</v>
          </cell>
          <cell r="L36">
            <v>770577</v>
          </cell>
          <cell r="M36">
            <v>986.08</v>
          </cell>
          <cell r="N36">
            <v>2.61</v>
          </cell>
          <cell r="O36">
            <v>14.3</v>
          </cell>
          <cell r="P36">
            <v>14</v>
          </cell>
          <cell r="Q36">
            <v>29.15</v>
          </cell>
        </row>
        <row r="37">
          <cell r="A37">
            <v>36</v>
          </cell>
          <cell r="B37" t="str">
            <v>Leon</v>
          </cell>
          <cell r="C37" t="str">
            <v>substantial</v>
          </cell>
          <cell r="D37">
            <v>44308</v>
          </cell>
          <cell r="E37">
            <v>86.52</v>
          </cell>
          <cell r="F37">
            <v>73172</v>
          </cell>
          <cell r="G37">
            <v>0.249</v>
          </cell>
          <cell r="H37">
            <v>73058</v>
          </cell>
          <cell r="I37">
            <v>0.30599999999999999</v>
          </cell>
          <cell r="J37">
            <v>31725</v>
          </cell>
          <cell r="K37">
            <v>0.77800000000000002</v>
          </cell>
          <cell r="L37">
            <v>293582</v>
          </cell>
          <cell r="M37">
            <v>440.23</v>
          </cell>
          <cell r="N37">
            <v>2.4300000000000002</v>
          </cell>
          <cell r="O37">
            <v>8.1999999999999993</v>
          </cell>
          <cell r="P37">
            <v>20.399999999999999</v>
          </cell>
          <cell r="Q37">
            <v>13.89</v>
          </cell>
        </row>
        <row r="38">
          <cell r="A38">
            <v>37</v>
          </cell>
          <cell r="B38" t="str">
            <v>Levy</v>
          </cell>
          <cell r="C38" t="str">
            <v>high</v>
          </cell>
          <cell r="D38">
            <v>44308</v>
          </cell>
          <cell r="E38">
            <v>195.17</v>
          </cell>
          <cell r="F38">
            <v>8017</v>
          </cell>
          <cell r="G38">
            <v>0.193</v>
          </cell>
          <cell r="H38">
            <v>8011</v>
          </cell>
          <cell r="I38">
            <v>0.24</v>
          </cell>
          <cell r="J38">
            <v>5496</v>
          </cell>
          <cell r="K38">
            <v>0.52700000000000002</v>
          </cell>
          <cell r="L38">
            <v>41503</v>
          </cell>
          <cell r="M38">
            <v>37.119999999999997</v>
          </cell>
          <cell r="N38">
            <v>2.41</v>
          </cell>
          <cell r="O38">
            <v>15.5</v>
          </cell>
          <cell r="P38">
            <v>20.7</v>
          </cell>
          <cell r="Q38">
            <v>25.15</v>
          </cell>
        </row>
        <row r="39">
          <cell r="A39">
            <v>38</v>
          </cell>
          <cell r="B39" t="str">
            <v>Liberty</v>
          </cell>
          <cell r="C39" t="str">
            <v>moderate</v>
          </cell>
          <cell r="D39">
            <v>44308</v>
          </cell>
          <cell r="E39" t="str">
            <v>suppressed</v>
          </cell>
          <cell r="F39">
            <v>1173</v>
          </cell>
          <cell r="G39">
            <v>0.14000000000000001</v>
          </cell>
          <cell r="H39">
            <v>1173</v>
          </cell>
          <cell r="I39">
            <v>0.17</v>
          </cell>
          <cell r="J39">
            <v>707</v>
          </cell>
          <cell r="K39">
            <v>0.56299999999999994</v>
          </cell>
          <cell r="L39">
            <v>8354</v>
          </cell>
          <cell r="M39">
            <v>10</v>
          </cell>
          <cell r="N39">
            <v>2.9</v>
          </cell>
          <cell r="O39">
            <v>18.5</v>
          </cell>
          <cell r="P39">
            <v>13</v>
          </cell>
          <cell r="Q39">
            <v>15.04</v>
          </cell>
        </row>
        <row r="40">
          <cell r="A40">
            <v>39</v>
          </cell>
          <cell r="B40" t="str">
            <v>Madison</v>
          </cell>
          <cell r="C40" t="str">
            <v>moderate</v>
          </cell>
          <cell r="D40">
            <v>44308</v>
          </cell>
          <cell r="E40" t="str">
            <v>suppressed</v>
          </cell>
          <cell r="F40">
            <v>3857</v>
          </cell>
          <cell r="G40">
            <v>0.20899999999999999</v>
          </cell>
          <cell r="H40">
            <v>3856</v>
          </cell>
          <cell r="I40">
            <v>0.25600000000000001</v>
          </cell>
          <cell r="J40">
            <v>2436</v>
          </cell>
          <cell r="K40">
            <v>0.624</v>
          </cell>
          <cell r="L40">
            <v>18493</v>
          </cell>
          <cell r="M40">
            <v>26.55</v>
          </cell>
          <cell r="N40">
            <v>2.4500000000000002</v>
          </cell>
          <cell r="O40">
            <v>13.1</v>
          </cell>
          <cell r="P40">
            <v>28.2</v>
          </cell>
          <cell r="Q40">
            <v>21.1</v>
          </cell>
        </row>
        <row r="41">
          <cell r="A41">
            <v>40</v>
          </cell>
          <cell r="B41" t="str">
            <v>Manatee</v>
          </cell>
          <cell r="C41" t="str">
            <v>high</v>
          </cell>
          <cell r="D41">
            <v>44308</v>
          </cell>
          <cell r="E41">
            <v>221.45</v>
          </cell>
          <cell r="F41">
            <v>105285</v>
          </cell>
          <cell r="G41">
            <v>0.26100000000000001</v>
          </cell>
          <cell r="H41">
            <v>105252</v>
          </cell>
          <cell r="I41">
            <v>0.318</v>
          </cell>
          <cell r="J41">
            <v>73403</v>
          </cell>
          <cell r="K41">
            <v>0.64900000000000002</v>
          </cell>
          <cell r="L41">
            <v>403253</v>
          </cell>
          <cell r="M41">
            <v>542.28</v>
          </cell>
          <cell r="N41">
            <v>2.57</v>
          </cell>
          <cell r="O41">
            <v>12.7</v>
          </cell>
          <cell r="P41">
            <v>12.5</v>
          </cell>
          <cell r="Q41">
            <v>28.06</v>
          </cell>
        </row>
        <row r="42">
          <cell r="A42">
            <v>41</v>
          </cell>
          <cell r="B42" t="str">
            <v>Marion</v>
          </cell>
          <cell r="C42" t="str">
            <v>high</v>
          </cell>
          <cell r="D42">
            <v>44308</v>
          </cell>
          <cell r="E42">
            <v>123.37</v>
          </cell>
          <cell r="F42">
            <v>91745</v>
          </cell>
          <cell r="G42">
            <v>0.251</v>
          </cell>
          <cell r="H42">
            <v>91715</v>
          </cell>
          <cell r="I42">
            <v>0.308</v>
          </cell>
          <cell r="J42">
            <v>65613</v>
          </cell>
          <cell r="K42">
            <v>0.61499999999999999</v>
          </cell>
          <cell r="L42">
            <v>365579</v>
          </cell>
          <cell r="M42">
            <v>230.15</v>
          </cell>
          <cell r="N42">
            <v>2.48</v>
          </cell>
          <cell r="O42">
            <v>12.3</v>
          </cell>
          <cell r="P42">
            <v>16.600000000000001</v>
          </cell>
          <cell r="Q42">
            <v>29.18</v>
          </cell>
        </row>
        <row r="43">
          <cell r="A43">
            <v>42</v>
          </cell>
          <cell r="B43" t="str">
            <v>Martin</v>
          </cell>
          <cell r="C43" t="str">
            <v>high</v>
          </cell>
          <cell r="D43">
            <v>44308</v>
          </cell>
          <cell r="E43">
            <v>138.51</v>
          </cell>
          <cell r="F43">
            <v>49073</v>
          </cell>
          <cell r="G43">
            <v>0.30499999999999999</v>
          </cell>
          <cell r="H43">
            <v>49052</v>
          </cell>
          <cell r="I43">
            <v>0.36399999999999999</v>
          </cell>
          <cell r="J43">
            <v>36538</v>
          </cell>
          <cell r="K43">
            <v>0.72</v>
          </cell>
          <cell r="L43">
            <v>161000</v>
          </cell>
          <cell r="M43">
            <v>296.05</v>
          </cell>
          <cell r="N43">
            <v>2.41</v>
          </cell>
          <cell r="O43">
            <v>11.5</v>
          </cell>
          <cell r="P43">
            <v>10.5</v>
          </cell>
          <cell r="Q43">
            <v>31.53</v>
          </cell>
        </row>
        <row r="44">
          <cell r="A44">
            <v>43</v>
          </cell>
          <cell r="B44" t="str">
            <v>Miami-Dade</v>
          </cell>
          <cell r="C44" t="str">
            <v>high</v>
          </cell>
          <cell r="D44">
            <v>44308</v>
          </cell>
          <cell r="E44">
            <v>352.46</v>
          </cell>
          <cell r="F44">
            <v>710221</v>
          </cell>
          <cell r="G44">
            <v>0.26100000000000001</v>
          </cell>
          <cell r="H44">
            <v>708635</v>
          </cell>
          <cell r="I44">
            <v>0.32700000000000001</v>
          </cell>
          <cell r="J44">
            <v>300820</v>
          </cell>
          <cell r="K44">
            <v>0.66500000000000004</v>
          </cell>
          <cell r="L44">
            <v>2716940</v>
          </cell>
          <cell r="M44">
            <v>1430.09</v>
          </cell>
          <cell r="N44">
            <v>3.07</v>
          </cell>
          <cell r="O44">
            <v>18.100000000000001</v>
          </cell>
          <cell r="P44">
            <v>18</v>
          </cell>
          <cell r="Q44">
            <v>16.66</v>
          </cell>
        </row>
        <row r="45">
          <cell r="A45">
            <v>44</v>
          </cell>
          <cell r="B45" t="str">
            <v>Monroe</v>
          </cell>
          <cell r="C45" t="str">
            <v>high</v>
          </cell>
          <cell r="D45">
            <v>44308</v>
          </cell>
          <cell r="E45">
            <v>127.98</v>
          </cell>
          <cell r="F45">
            <v>22707</v>
          </cell>
          <cell r="G45">
            <v>0.30599999999999999</v>
          </cell>
          <cell r="H45">
            <v>22697</v>
          </cell>
          <cell r="I45">
            <v>0.36</v>
          </cell>
          <cell r="J45">
            <v>13568</v>
          </cell>
          <cell r="K45">
            <v>0.77</v>
          </cell>
          <cell r="L45">
            <v>74228</v>
          </cell>
          <cell r="M45">
            <v>75.510000000000005</v>
          </cell>
          <cell r="N45">
            <v>2.39</v>
          </cell>
          <cell r="O45">
            <v>17.8</v>
          </cell>
          <cell r="P45">
            <v>11.8</v>
          </cell>
          <cell r="Q45">
            <v>23.75</v>
          </cell>
        </row>
        <row r="46">
          <cell r="A46">
            <v>45</v>
          </cell>
          <cell r="B46" t="str">
            <v>Nassau</v>
          </cell>
          <cell r="C46" t="str">
            <v>high</v>
          </cell>
          <cell r="D46">
            <v>44308</v>
          </cell>
          <cell r="E46">
            <v>115.09</v>
          </cell>
          <cell r="F46">
            <v>25969</v>
          </cell>
          <cell r="G46">
            <v>0.29299999999999998</v>
          </cell>
          <cell r="H46">
            <v>25954</v>
          </cell>
          <cell r="I46">
            <v>0.36499999999999999</v>
          </cell>
          <cell r="J46">
            <v>15660</v>
          </cell>
          <cell r="K46">
            <v>0.77400000000000002</v>
          </cell>
          <cell r="L46">
            <v>88625</v>
          </cell>
          <cell r="M46">
            <v>136.62</v>
          </cell>
          <cell r="N46">
            <v>2.5499999999999998</v>
          </cell>
          <cell r="O46">
            <v>11</v>
          </cell>
          <cell r="P46">
            <v>10.199999999999999</v>
          </cell>
          <cell r="Q46">
            <v>22.83</v>
          </cell>
        </row>
        <row r="47">
          <cell r="A47">
            <v>46</v>
          </cell>
          <cell r="B47" t="str">
            <v>Okaloosa</v>
          </cell>
          <cell r="C47" t="str">
            <v>substantial</v>
          </cell>
          <cell r="D47">
            <v>44308</v>
          </cell>
          <cell r="E47">
            <v>92.06</v>
          </cell>
          <cell r="F47">
            <v>46439</v>
          </cell>
          <cell r="G47">
            <v>0.22</v>
          </cell>
          <cell r="H47">
            <v>46409</v>
          </cell>
          <cell r="I47">
            <v>0.28299999999999997</v>
          </cell>
          <cell r="J47">
            <v>24521</v>
          </cell>
          <cell r="K47">
            <v>0.71299999999999997</v>
          </cell>
          <cell r="L47">
            <v>210738</v>
          </cell>
          <cell r="M47">
            <v>226.55</v>
          </cell>
          <cell r="N47">
            <v>2.52</v>
          </cell>
          <cell r="O47">
            <v>12.2</v>
          </cell>
          <cell r="P47">
            <v>11.5</v>
          </cell>
          <cell r="Q47">
            <v>16.309999999999999</v>
          </cell>
        </row>
        <row r="48">
          <cell r="A48">
            <v>47</v>
          </cell>
          <cell r="B48" t="str">
            <v>Okeechobee</v>
          </cell>
          <cell r="C48" t="str">
            <v>high</v>
          </cell>
          <cell r="D48">
            <v>44308</v>
          </cell>
          <cell r="E48">
            <v>132.80000000000001</v>
          </cell>
          <cell r="F48">
            <v>7281</v>
          </cell>
          <cell r="G48">
            <v>0.17299999999999999</v>
          </cell>
          <cell r="H48">
            <v>7279</v>
          </cell>
          <cell r="I48">
            <v>0.219</v>
          </cell>
          <cell r="J48">
            <v>5432</v>
          </cell>
          <cell r="K48">
            <v>0.64</v>
          </cell>
          <cell r="L48">
            <v>42168</v>
          </cell>
          <cell r="M48">
            <v>54.82</v>
          </cell>
          <cell r="N48">
            <v>2.73</v>
          </cell>
          <cell r="O48">
            <v>18.100000000000001</v>
          </cell>
          <cell r="P48">
            <v>22.7</v>
          </cell>
          <cell r="Q48">
            <v>20.12</v>
          </cell>
        </row>
        <row r="49">
          <cell r="A49">
            <v>48</v>
          </cell>
          <cell r="B49" t="str">
            <v>Orange</v>
          </cell>
          <cell r="C49" t="str">
            <v>high</v>
          </cell>
          <cell r="D49">
            <v>44308</v>
          </cell>
          <cell r="E49">
            <v>214.5</v>
          </cell>
          <cell r="F49">
            <v>313063</v>
          </cell>
          <cell r="G49">
            <v>0.22500000000000001</v>
          </cell>
          <cell r="H49">
            <v>312342</v>
          </cell>
          <cell r="I49">
            <v>0.28699999999999998</v>
          </cell>
          <cell r="J49">
            <v>117837</v>
          </cell>
          <cell r="K49">
            <v>0.68700000000000006</v>
          </cell>
          <cell r="L49">
            <v>1393452</v>
          </cell>
          <cell r="M49">
            <v>1545.08</v>
          </cell>
          <cell r="N49">
            <v>2.81</v>
          </cell>
          <cell r="O49">
            <v>14.5</v>
          </cell>
          <cell r="P49">
            <v>16.100000000000001</v>
          </cell>
          <cell r="Q49">
            <v>12.31</v>
          </cell>
        </row>
        <row r="50">
          <cell r="A50">
            <v>49</v>
          </cell>
          <cell r="B50" t="str">
            <v>Osceola</v>
          </cell>
          <cell r="C50" t="str">
            <v>high</v>
          </cell>
          <cell r="D50">
            <v>44308</v>
          </cell>
          <cell r="E50">
            <v>304.99</v>
          </cell>
          <cell r="F50">
            <v>75702</v>
          </cell>
          <cell r="G50">
            <v>0.20100000000000001</v>
          </cell>
          <cell r="H50">
            <v>75619</v>
          </cell>
          <cell r="I50">
            <v>0.26500000000000001</v>
          </cell>
          <cell r="J50">
            <v>35147</v>
          </cell>
          <cell r="K50">
            <v>0.69199999999999995</v>
          </cell>
          <cell r="L50">
            <v>375751</v>
          </cell>
          <cell r="M50">
            <v>283.04000000000002</v>
          </cell>
          <cell r="N50">
            <v>3.4</v>
          </cell>
          <cell r="O50">
            <v>15.8</v>
          </cell>
          <cell r="P50">
            <v>16.3</v>
          </cell>
          <cell r="Q50">
            <v>13.52</v>
          </cell>
        </row>
        <row r="51">
          <cell r="A51">
            <v>50</v>
          </cell>
          <cell r="B51" t="str">
            <v>Palm Beach</v>
          </cell>
          <cell r="C51" t="str">
            <v>high</v>
          </cell>
          <cell r="D51">
            <v>44308</v>
          </cell>
          <cell r="E51">
            <v>187.34</v>
          </cell>
          <cell r="F51">
            <v>398364</v>
          </cell>
          <cell r="G51">
            <v>0.26600000000000001</v>
          </cell>
          <cell r="H51">
            <v>397920</v>
          </cell>
          <cell r="I51">
            <v>0.32800000000000001</v>
          </cell>
          <cell r="J51">
            <v>247324</v>
          </cell>
          <cell r="K51">
            <v>0.67800000000000005</v>
          </cell>
          <cell r="L51">
            <v>1496770</v>
          </cell>
          <cell r="M51">
            <v>761.99</v>
          </cell>
          <cell r="N51">
            <v>2.6</v>
          </cell>
          <cell r="O51">
            <v>13.6</v>
          </cell>
          <cell r="P51">
            <v>12.8</v>
          </cell>
          <cell r="Q51">
            <v>24.36</v>
          </cell>
        </row>
        <row r="52">
          <cell r="A52">
            <v>51</v>
          </cell>
          <cell r="B52" t="str">
            <v>Pasco</v>
          </cell>
          <cell r="C52" t="str">
            <v>high</v>
          </cell>
          <cell r="D52">
            <v>44308</v>
          </cell>
          <cell r="E52">
            <v>201.46</v>
          </cell>
          <cell r="F52">
            <v>126678</v>
          </cell>
          <cell r="G52">
            <v>0.22900000000000001</v>
          </cell>
          <cell r="H52">
            <v>126588</v>
          </cell>
          <cell r="I52">
            <v>0.28699999999999998</v>
          </cell>
          <cell r="J52">
            <v>76281</v>
          </cell>
          <cell r="K52">
            <v>0.60799999999999998</v>
          </cell>
          <cell r="L52">
            <v>553947</v>
          </cell>
          <cell r="M52">
            <v>741.98</v>
          </cell>
          <cell r="N52">
            <v>2.52</v>
          </cell>
          <cell r="O52">
            <v>11.8</v>
          </cell>
          <cell r="P52">
            <v>13.5</v>
          </cell>
          <cell r="Q52">
            <v>22.65</v>
          </cell>
        </row>
        <row r="53">
          <cell r="A53">
            <v>52</v>
          </cell>
          <cell r="B53" t="str">
            <v>Pinellas</v>
          </cell>
          <cell r="C53" t="str">
            <v>high</v>
          </cell>
          <cell r="D53">
            <v>44308</v>
          </cell>
          <cell r="E53">
            <v>158.05000000000001</v>
          </cell>
          <cell r="F53">
            <v>285066</v>
          </cell>
          <cell r="G53">
            <v>0.29199999999999998</v>
          </cell>
          <cell r="H53">
            <v>284868</v>
          </cell>
          <cell r="I53">
            <v>0.34699999999999998</v>
          </cell>
          <cell r="J53">
            <v>162023</v>
          </cell>
          <cell r="K53">
            <v>0.65400000000000003</v>
          </cell>
          <cell r="L53">
            <v>974996</v>
          </cell>
          <cell r="M53">
            <v>3561.28</v>
          </cell>
          <cell r="N53">
            <v>2.31</v>
          </cell>
          <cell r="O53">
            <v>11.5</v>
          </cell>
          <cell r="P53">
            <v>13</v>
          </cell>
          <cell r="Q53">
            <v>25.4</v>
          </cell>
        </row>
        <row r="54">
          <cell r="A54">
            <v>53</v>
          </cell>
          <cell r="B54" t="str">
            <v>Polk</v>
          </cell>
          <cell r="C54" t="str">
            <v>high</v>
          </cell>
          <cell r="D54">
            <v>44308</v>
          </cell>
          <cell r="E54">
            <v>232.35</v>
          </cell>
          <cell r="F54">
            <v>142776</v>
          </cell>
          <cell r="G54">
            <v>0.19700000000000001</v>
          </cell>
          <cell r="H54">
            <v>142680</v>
          </cell>
          <cell r="I54">
            <v>0.252</v>
          </cell>
          <cell r="J54">
            <v>87154</v>
          </cell>
          <cell r="K54">
            <v>0.58799999999999997</v>
          </cell>
          <cell r="L54">
            <v>724777</v>
          </cell>
          <cell r="M54">
            <v>403.21</v>
          </cell>
          <cell r="N54">
            <v>2.84</v>
          </cell>
          <cell r="O54">
            <v>13.2</v>
          </cell>
          <cell r="P54">
            <v>16.600000000000001</v>
          </cell>
          <cell r="Q54">
            <v>20.440000000000001</v>
          </cell>
        </row>
        <row r="55">
          <cell r="A55">
            <v>54</v>
          </cell>
          <cell r="B55" t="str">
            <v>Putnam</v>
          </cell>
          <cell r="C55" t="str">
            <v>high</v>
          </cell>
          <cell r="D55">
            <v>44308</v>
          </cell>
          <cell r="E55">
            <v>179.82</v>
          </cell>
          <cell r="F55">
            <v>12086</v>
          </cell>
          <cell r="G55">
            <v>0.16200000000000001</v>
          </cell>
          <cell r="H55">
            <v>12083</v>
          </cell>
          <cell r="I55">
            <v>0.20599999999999999</v>
          </cell>
          <cell r="J55">
            <v>8101</v>
          </cell>
          <cell r="K55">
            <v>0.45800000000000002</v>
          </cell>
          <cell r="L55">
            <v>74521</v>
          </cell>
          <cell r="M55">
            <v>102.38</v>
          </cell>
          <cell r="N55">
            <v>2.52</v>
          </cell>
          <cell r="O55">
            <v>16</v>
          </cell>
          <cell r="P55">
            <v>24.8</v>
          </cell>
          <cell r="Q55">
            <v>23.72</v>
          </cell>
        </row>
        <row r="56">
          <cell r="A56">
            <v>55</v>
          </cell>
          <cell r="B56" t="str">
            <v>Santa Rosa</v>
          </cell>
          <cell r="C56" t="str">
            <v>moderate</v>
          </cell>
          <cell r="D56">
            <v>44308</v>
          </cell>
          <cell r="E56">
            <v>41.23</v>
          </cell>
          <cell r="F56">
            <v>36372</v>
          </cell>
          <cell r="G56">
            <v>0.19700000000000001</v>
          </cell>
          <cell r="H56">
            <v>36335</v>
          </cell>
          <cell r="I56">
            <v>0.252</v>
          </cell>
          <cell r="J56">
            <v>20114</v>
          </cell>
          <cell r="K56">
            <v>0.66800000000000004</v>
          </cell>
          <cell r="L56">
            <v>184313</v>
          </cell>
          <cell r="M56">
            <v>182.06</v>
          </cell>
          <cell r="N56">
            <v>2.68</v>
          </cell>
          <cell r="O56">
            <v>10</v>
          </cell>
          <cell r="P56">
            <v>9.8000000000000007</v>
          </cell>
          <cell r="Q56">
            <v>16.34</v>
          </cell>
        </row>
        <row r="57">
          <cell r="A57">
            <v>56</v>
          </cell>
          <cell r="B57" t="str">
            <v>Sarasota</v>
          </cell>
          <cell r="C57" t="str">
            <v>high</v>
          </cell>
          <cell r="D57">
            <v>44308</v>
          </cell>
          <cell r="E57">
            <v>195.28</v>
          </cell>
          <cell r="F57">
            <v>150100</v>
          </cell>
          <cell r="G57">
            <v>0.34599999999999997</v>
          </cell>
          <cell r="H57">
            <v>150022</v>
          </cell>
          <cell r="I57">
            <v>0.40200000000000002</v>
          </cell>
          <cell r="J57">
            <v>114303</v>
          </cell>
          <cell r="K57">
            <v>0.70599999999999996</v>
          </cell>
          <cell r="L57">
            <v>433742</v>
          </cell>
          <cell r="M57">
            <v>780.13</v>
          </cell>
          <cell r="N57">
            <v>2.25</v>
          </cell>
          <cell r="O57">
            <v>11.4</v>
          </cell>
          <cell r="P57">
            <v>9.6999999999999993</v>
          </cell>
          <cell r="Q57">
            <v>37.340000000000003</v>
          </cell>
        </row>
        <row r="58">
          <cell r="A58">
            <v>57</v>
          </cell>
          <cell r="B58" t="str">
            <v>Seminole</v>
          </cell>
          <cell r="C58" t="str">
            <v>high</v>
          </cell>
          <cell r="D58">
            <v>44308</v>
          </cell>
          <cell r="E58">
            <v>220.84</v>
          </cell>
          <cell r="F58">
            <v>103231</v>
          </cell>
          <cell r="G58">
            <v>0.219</v>
          </cell>
          <cell r="H58">
            <v>103048</v>
          </cell>
          <cell r="I58">
            <v>0.27600000000000002</v>
          </cell>
          <cell r="J58">
            <v>48349</v>
          </cell>
          <cell r="K58">
            <v>0.64100000000000001</v>
          </cell>
          <cell r="L58">
            <v>471826</v>
          </cell>
          <cell r="M58">
            <v>1525.34</v>
          </cell>
          <cell r="N58">
            <v>2.7</v>
          </cell>
          <cell r="O58">
            <v>10.4</v>
          </cell>
          <cell r="P58">
            <v>11.4</v>
          </cell>
          <cell r="Q58">
            <v>15.98</v>
          </cell>
        </row>
        <row r="59">
          <cell r="A59">
            <v>58</v>
          </cell>
          <cell r="B59" t="str">
            <v>St. Johns</v>
          </cell>
          <cell r="C59" t="str">
            <v>high</v>
          </cell>
          <cell r="D59">
            <v>44308</v>
          </cell>
          <cell r="E59">
            <v>111.84</v>
          </cell>
          <cell r="F59">
            <v>87496</v>
          </cell>
          <cell r="G59">
            <v>0.33100000000000002</v>
          </cell>
          <cell r="H59">
            <v>87332</v>
          </cell>
          <cell r="I59">
            <v>0.42099999999999999</v>
          </cell>
          <cell r="J59">
            <v>45771</v>
          </cell>
          <cell r="K59">
            <v>0.83699999999999997</v>
          </cell>
          <cell r="L59">
            <v>264672</v>
          </cell>
          <cell r="M59">
            <v>440.71</v>
          </cell>
          <cell r="N59">
            <v>2.7</v>
          </cell>
          <cell r="O59">
            <v>8.4</v>
          </cell>
          <cell r="P59">
            <v>8.4</v>
          </cell>
          <cell r="Q59">
            <v>20.65</v>
          </cell>
        </row>
        <row r="60">
          <cell r="A60">
            <v>59</v>
          </cell>
          <cell r="B60" t="str">
            <v>St. Lucie</v>
          </cell>
          <cell r="C60" t="str">
            <v>high</v>
          </cell>
          <cell r="D60">
            <v>44308</v>
          </cell>
          <cell r="E60">
            <v>136.16</v>
          </cell>
          <cell r="F60">
            <v>72582</v>
          </cell>
          <cell r="G60">
            <v>0.221</v>
          </cell>
          <cell r="H60">
            <v>72561</v>
          </cell>
          <cell r="I60">
            <v>0.27500000000000002</v>
          </cell>
          <cell r="J60">
            <v>48797</v>
          </cell>
          <cell r="K60">
            <v>0.60299999999999998</v>
          </cell>
          <cell r="L60">
            <v>328297</v>
          </cell>
          <cell r="M60">
            <v>574.29999999999995</v>
          </cell>
          <cell r="N60">
            <v>2.68</v>
          </cell>
          <cell r="O60">
            <v>14</v>
          </cell>
          <cell r="P60">
            <v>15</v>
          </cell>
          <cell r="Q60">
            <v>24.65</v>
          </cell>
        </row>
        <row r="61">
          <cell r="A61">
            <v>60</v>
          </cell>
          <cell r="B61" t="str">
            <v>Sumter</v>
          </cell>
          <cell r="C61" t="str">
            <v>substantial</v>
          </cell>
          <cell r="D61">
            <v>44308</v>
          </cell>
          <cell r="E61">
            <v>72.5</v>
          </cell>
          <cell r="F61">
            <v>71760</v>
          </cell>
          <cell r="G61">
            <v>0.54200000000000004</v>
          </cell>
          <cell r="H61">
            <v>71750</v>
          </cell>
          <cell r="I61">
            <v>0.58299999999999996</v>
          </cell>
          <cell r="J61">
            <v>62044</v>
          </cell>
          <cell r="K61">
            <v>0.80500000000000005</v>
          </cell>
          <cell r="L61">
            <v>132420</v>
          </cell>
          <cell r="M61">
            <v>237.68</v>
          </cell>
          <cell r="N61">
            <v>2.04</v>
          </cell>
          <cell r="O61">
            <v>6.2</v>
          </cell>
          <cell r="P61">
            <v>8.8000000000000007</v>
          </cell>
          <cell r="Q61">
            <v>58.17</v>
          </cell>
        </row>
        <row r="62">
          <cell r="A62">
            <v>61</v>
          </cell>
          <cell r="B62" t="str">
            <v>Suwannee</v>
          </cell>
          <cell r="C62" t="str">
            <v>substantial</v>
          </cell>
          <cell r="D62">
            <v>44308</v>
          </cell>
          <cell r="E62">
            <v>65.290000000000006</v>
          </cell>
          <cell r="F62">
            <v>7523</v>
          </cell>
          <cell r="G62">
            <v>0.16900000000000001</v>
          </cell>
          <cell r="H62">
            <v>7521</v>
          </cell>
          <cell r="I62">
            <v>0.214</v>
          </cell>
          <cell r="J62">
            <v>5223</v>
          </cell>
          <cell r="K62">
            <v>0.54100000000000004</v>
          </cell>
          <cell r="L62">
            <v>44417</v>
          </cell>
          <cell r="M62">
            <v>64.510000000000005</v>
          </cell>
          <cell r="N62">
            <v>2.81</v>
          </cell>
          <cell r="O62">
            <v>13.9</v>
          </cell>
          <cell r="P62">
            <v>17.8</v>
          </cell>
          <cell r="Q62">
            <v>21.73</v>
          </cell>
        </row>
        <row r="63">
          <cell r="A63">
            <v>62</v>
          </cell>
          <cell r="B63" t="str">
            <v>Taylor</v>
          </cell>
          <cell r="C63" t="str">
            <v>moderate</v>
          </cell>
          <cell r="D63">
            <v>44308</v>
          </cell>
          <cell r="E63" t="str">
            <v>suppressed</v>
          </cell>
          <cell r="F63">
            <v>3405</v>
          </cell>
          <cell r="G63">
            <v>0.158</v>
          </cell>
          <cell r="H63">
            <v>3403</v>
          </cell>
          <cell r="I63">
            <v>0.19700000000000001</v>
          </cell>
          <cell r="J63">
            <v>2304</v>
          </cell>
          <cell r="K63">
            <v>0.50900000000000001</v>
          </cell>
          <cell r="L63">
            <v>21569</v>
          </cell>
          <cell r="M63">
            <v>20.67</v>
          </cell>
          <cell r="N63">
            <v>2.4700000000000002</v>
          </cell>
          <cell r="O63">
            <v>10.9</v>
          </cell>
          <cell r="P63">
            <v>19.8</v>
          </cell>
          <cell r="Q63">
            <v>20.98</v>
          </cell>
        </row>
        <row r="64">
          <cell r="A64">
            <v>63</v>
          </cell>
          <cell r="B64" t="str">
            <v>Union</v>
          </cell>
          <cell r="C64" t="str">
            <v>substantial</v>
          </cell>
          <cell r="D64">
            <v>44308</v>
          </cell>
          <cell r="E64">
            <v>85.32</v>
          </cell>
          <cell r="F64">
            <v>1708</v>
          </cell>
          <cell r="G64">
            <v>0.112</v>
          </cell>
          <cell r="H64">
            <v>1708</v>
          </cell>
          <cell r="I64">
            <v>0.14000000000000001</v>
          </cell>
          <cell r="J64">
            <v>1112</v>
          </cell>
          <cell r="K64">
            <v>0.48</v>
          </cell>
          <cell r="L64">
            <v>15237</v>
          </cell>
          <cell r="M64">
            <v>62.56</v>
          </cell>
          <cell r="N64">
            <v>2.5</v>
          </cell>
          <cell r="O64">
            <v>12.4</v>
          </cell>
          <cell r="P64">
            <v>22</v>
          </cell>
          <cell r="Q64">
            <v>15.21</v>
          </cell>
        </row>
        <row r="65">
          <cell r="A65">
            <v>64</v>
          </cell>
          <cell r="B65" t="str">
            <v>Volusia</v>
          </cell>
          <cell r="C65" t="str">
            <v>high</v>
          </cell>
          <cell r="D65">
            <v>44308</v>
          </cell>
          <cell r="E65">
            <v>215.26</v>
          </cell>
          <cell r="F65">
            <v>135623</v>
          </cell>
          <cell r="G65">
            <v>0.245</v>
          </cell>
          <cell r="H65">
            <v>135570</v>
          </cell>
          <cell r="I65">
            <v>0.29699999999999999</v>
          </cell>
          <cell r="J65">
            <v>90345</v>
          </cell>
          <cell r="K65">
            <v>0.65600000000000003</v>
          </cell>
          <cell r="L65">
            <v>553284</v>
          </cell>
          <cell r="M65">
            <v>502.42</v>
          </cell>
          <cell r="N65">
            <v>2.4300000000000002</v>
          </cell>
          <cell r="O65">
            <v>12.5</v>
          </cell>
          <cell r="P65">
            <v>15.2</v>
          </cell>
          <cell r="Q65">
            <v>24.91</v>
          </cell>
        </row>
        <row r="66">
          <cell r="A66">
            <v>65</v>
          </cell>
          <cell r="B66" t="str">
            <v>Wakulla</v>
          </cell>
          <cell r="C66" t="str">
            <v>high</v>
          </cell>
          <cell r="D66">
            <v>44308</v>
          </cell>
          <cell r="E66">
            <v>160.05000000000001</v>
          </cell>
          <cell r="F66">
            <v>6668</v>
          </cell>
          <cell r="G66">
            <v>0.19800000000000001</v>
          </cell>
          <cell r="H66">
            <v>6663</v>
          </cell>
          <cell r="I66">
            <v>0.249</v>
          </cell>
          <cell r="J66">
            <v>3891</v>
          </cell>
          <cell r="K66">
            <v>0.72499999999999998</v>
          </cell>
          <cell r="L66">
            <v>33739</v>
          </cell>
          <cell r="M66">
            <v>55.64</v>
          </cell>
          <cell r="N66">
            <v>2.56</v>
          </cell>
          <cell r="O66">
            <v>9</v>
          </cell>
          <cell r="P66">
            <v>11.5</v>
          </cell>
          <cell r="Q66">
            <v>15.9</v>
          </cell>
        </row>
        <row r="67">
          <cell r="A67">
            <v>66</v>
          </cell>
          <cell r="B67" t="str">
            <v>Walton</v>
          </cell>
          <cell r="C67" t="str">
            <v>high</v>
          </cell>
          <cell r="D67">
            <v>44308</v>
          </cell>
          <cell r="E67">
            <v>122.86</v>
          </cell>
          <cell r="F67">
            <v>14578</v>
          </cell>
          <cell r="G67">
            <v>0.19700000000000001</v>
          </cell>
          <cell r="H67">
            <v>14574</v>
          </cell>
          <cell r="I67">
            <v>0.247</v>
          </cell>
          <cell r="J67">
            <v>8999</v>
          </cell>
          <cell r="K67">
            <v>0.60099999999999998</v>
          </cell>
          <cell r="L67">
            <v>74071</v>
          </cell>
          <cell r="M67">
            <v>71.38</v>
          </cell>
          <cell r="N67">
            <v>2.42</v>
          </cell>
          <cell r="O67">
            <v>13.5</v>
          </cell>
          <cell r="P67">
            <v>14.7</v>
          </cell>
          <cell r="Q67">
            <v>20.22</v>
          </cell>
        </row>
        <row r="68">
          <cell r="A68">
            <v>67</v>
          </cell>
          <cell r="B68" t="str">
            <v>Washington</v>
          </cell>
          <cell r="C68" t="str">
            <v>moderate</v>
          </cell>
          <cell r="D68">
            <v>44308</v>
          </cell>
          <cell r="E68" t="str">
            <v>suppressed</v>
          </cell>
          <cell r="F68">
            <v>3169</v>
          </cell>
          <cell r="G68">
            <v>0.124</v>
          </cell>
          <cell r="H68">
            <v>3166</v>
          </cell>
          <cell r="I68">
            <v>0.155</v>
          </cell>
          <cell r="J68">
            <v>2011</v>
          </cell>
          <cell r="K68">
            <v>0.45900000000000002</v>
          </cell>
          <cell r="L68">
            <v>25473</v>
          </cell>
          <cell r="M68">
            <v>43.57</v>
          </cell>
          <cell r="N68">
            <v>2.57</v>
          </cell>
          <cell r="O68">
            <v>12.8</v>
          </cell>
          <cell r="P68">
            <v>22.4</v>
          </cell>
          <cell r="Q68">
            <v>17.2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BF753-A1A3-419C-BD86-7109F8CBBE6C}">
  <dimension ref="A1:M68"/>
  <sheetViews>
    <sheetView tabSelected="1" workbookViewId="0"/>
  </sheetViews>
  <sheetFormatPr defaultColWidth="14.625" defaultRowHeight="15.75" x14ac:dyDescent="0.25"/>
  <cols>
    <col min="1" max="6" width="14.625" style="3"/>
    <col min="7" max="7" width="14.625" style="16"/>
    <col min="8" max="16384" width="14.625" style="3"/>
  </cols>
  <sheetData>
    <row r="1" spans="1:13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</row>
    <row r="2" spans="1:13" x14ac:dyDescent="0.25">
      <c r="A2" s="4">
        <v>1</v>
      </c>
      <c r="B2" s="4" t="s">
        <v>13</v>
      </c>
      <c r="C2" s="5">
        <v>269043</v>
      </c>
      <c r="D2" s="5">
        <v>12914477</v>
      </c>
      <c r="E2" s="6">
        <f>'[1]4-22'!P2</f>
        <v>21.8</v>
      </c>
      <c r="F2" s="6">
        <v>9.1999999999999993</v>
      </c>
      <c r="G2" s="6">
        <f>'[1]4-15'!M2</f>
        <v>307.29000000000002</v>
      </c>
      <c r="H2" s="6">
        <f>'[1]4-15'!Q2</f>
        <v>14.6</v>
      </c>
      <c r="I2" s="5">
        <f>'[1]4-22'!F2</f>
        <v>77333</v>
      </c>
      <c r="J2" s="7">
        <f>I2/C2</f>
        <v>0.287437324145211</v>
      </c>
      <c r="K2" s="5">
        <f>AVERAGE('[1]4-22'!F2-'[1]4-21'!F2,'[1]4-21'!F2-'[1]4-20'!F2,'[1]4-20'!F2-'[1]4-19'!F2,'[1]4-19'!F2-'[1]4-18'!F2,'[1]4-18'!F2-'[1]4-17'!F2,'[1]4-17'!F2-'[1]4-16'!F2,'[1]4-16'!F2-'[1]4-15'!F2)</f>
        <v>1327.4285714285713</v>
      </c>
      <c r="L2" s="6">
        <f>ROUNDUP((C2-I2)/K2,0)</f>
        <v>145</v>
      </c>
      <c r="M2" s="8">
        <f ca="1">TODAY()+L2</f>
        <v>44458</v>
      </c>
    </row>
    <row r="3" spans="1:13" x14ac:dyDescent="0.25">
      <c r="A3" s="9">
        <v>2</v>
      </c>
      <c r="B3" s="9" t="s">
        <v>14</v>
      </c>
      <c r="C3" s="10">
        <v>29210</v>
      </c>
      <c r="D3" s="10">
        <v>559561</v>
      </c>
      <c r="E3" s="11">
        <f>'[1]4-22'!P3</f>
        <v>14.6</v>
      </c>
      <c r="F3" s="11">
        <v>12.5</v>
      </c>
      <c r="G3" s="11">
        <f>'[1]4-15'!M3</f>
        <v>49.91</v>
      </c>
      <c r="H3" s="11">
        <f>'[1]4-15'!Q3</f>
        <v>14.09</v>
      </c>
      <c r="I3" s="12">
        <f>'[1]4-22'!F3</f>
        <v>3634</v>
      </c>
      <c r="J3" s="13">
        <f t="shared" ref="J3:J66" si="0">I3/C3</f>
        <v>0.12440944881889764</v>
      </c>
      <c r="K3" s="12">
        <f>AVERAGE('[1]4-22'!F3-'[1]4-21'!F3,'[1]4-21'!F3-'[1]4-20'!F3,'[1]4-20'!F3-'[1]4-19'!F3,'[1]4-19'!F3-'[1]4-18'!F3,'[1]4-18'!F3-'[1]4-17'!F3,'[1]4-17'!F3-'[1]4-16'!F3,'[1]4-16'!F3-'[1]4-15'!F3)</f>
        <v>39.142857142857146</v>
      </c>
      <c r="L3" s="14">
        <f t="shared" ref="L3:L66" si="1">ROUNDUP((C3-I3)/K3,0)</f>
        <v>654</v>
      </c>
      <c r="M3" s="15">
        <f t="shared" ref="M3:M66" ca="1" si="2">TODAY()+L3</f>
        <v>44967</v>
      </c>
    </row>
    <row r="4" spans="1:13" x14ac:dyDescent="0.25">
      <c r="A4" s="4">
        <v>3</v>
      </c>
      <c r="B4" s="4" t="s">
        <v>15</v>
      </c>
      <c r="C4" s="5">
        <v>174705</v>
      </c>
      <c r="D4" s="5">
        <v>7772152</v>
      </c>
      <c r="E4" s="6">
        <f>'[1]4-22'!P4</f>
        <v>14.7</v>
      </c>
      <c r="F4" s="6">
        <v>14.2</v>
      </c>
      <c r="G4" s="6">
        <f>'[1]4-15'!M4</f>
        <v>230.3</v>
      </c>
      <c r="H4" s="6">
        <f>'[1]4-15'!Q4</f>
        <v>18.62</v>
      </c>
      <c r="I4" s="5">
        <f>'[1]4-22'!F4</f>
        <v>37092</v>
      </c>
      <c r="J4" s="7">
        <f t="shared" si="0"/>
        <v>0.21231218339486563</v>
      </c>
      <c r="K4" s="5">
        <f>AVERAGE('[1]4-22'!F4-'[1]4-21'!F4,'[1]4-21'!F4-'[1]4-20'!F4,'[1]4-20'!F4-'[1]4-19'!F4,'[1]4-19'!F4-'[1]4-18'!F4,'[1]4-18'!F4-'[1]4-17'!F4,'[1]4-17'!F4-'[1]4-16'!F4,'[1]4-16'!F4-'[1]4-15'!F4)</f>
        <v>378.85714285714283</v>
      </c>
      <c r="L4" s="6">
        <f t="shared" si="1"/>
        <v>364</v>
      </c>
      <c r="M4" s="8">
        <f t="shared" ca="1" si="2"/>
        <v>44677</v>
      </c>
    </row>
    <row r="5" spans="1:13" x14ac:dyDescent="0.25">
      <c r="A5" s="9">
        <v>4</v>
      </c>
      <c r="B5" s="9" t="s">
        <v>16</v>
      </c>
      <c r="C5" s="10">
        <v>28201</v>
      </c>
      <c r="D5" s="10">
        <v>668271</v>
      </c>
      <c r="E5" s="11">
        <f>'[1]4-22'!P5</f>
        <v>20.3</v>
      </c>
      <c r="F5" s="11">
        <v>12.4</v>
      </c>
      <c r="G5" s="11">
        <f>'[1]4-15'!M5</f>
        <v>95.93</v>
      </c>
      <c r="H5" s="11">
        <f>'[1]4-15'!Q5</f>
        <v>17.96</v>
      </c>
      <c r="I5" s="12">
        <f>'[1]4-22'!F5</f>
        <v>3968</v>
      </c>
      <c r="J5" s="13">
        <f t="shared" si="0"/>
        <v>0.14070423034644161</v>
      </c>
      <c r="K5" s="12">
        <f>AVERAGE('[1]4-22'!F5-'[1]4-21'!F5,'[1]4-21'!F5-'[1]4-20'!F5,'[1]4-20'!F5-'[1]4-19'!F5,'[1]4-19'!F5-'[1]4-18'!F5,'[1]4-18'!F5-'[1]4-17'!F5,'[1]4-17'!F5-'[1]4-16'!F5,'[1]4-16'!F5-'[1]4-15'!F5)</f>
        <v>42.428571428571431</v>
      </c>
      <c r="L5" s="14">
        <f t="shared" si="1"/>
        <v>572</v>
      </c>
      <c r="M5" s="15">
        <f t="shared" ca="1" si="2"/>
        <v>44885</v>
      </c>
    </row>
    <row r="6" spans="1:13" x14ac:dyDescent="0.25">
      <c r="A6" s="4">
        <v>5</v>
      </c>
      <c r="B6" s="4" t="s">
        <v>17</v>
      </c>
      <c r="C6" s="5">
        <v>601942</v>
      </c>
      <c r="D6" s="5">
        <v>24619760</v>
      </c>
      <c r="E6" s="6">
        <f>'[1]4-22'!P6</f>
        <v>12.7</v>
      </c>
      <c r="F6" s="6">
        <v>10.8</v>
      </c>
      <c r="G6" s="6">
        <f>'[1]4-15'!M6</f>
        <v>593.05999999999995</v>
      </c>
      <c r="H6" s="6">
        <f>'[1]4-15'!Q6</f>
        <v>24.21</v>
      </c>
      <c r="I6" s="5">
        <f>'[1]4-22'!F6</f>
        <v>152141</v>
      </c>
      <c r="J6" s="7">
        <f t="shared" si="0"/>
        <v>0.25275026497569536</v>
      </c>
      <c r="K6" s="5">
        <f>AVERAGE('[1]4-22'!F6-'[1]4-21'!F6,'[1]4-21'!F6-'[1]4-20'!F6,'[1]4-20'!F6-'[1]4-19'!F6,'[1]4-19'!F6-'[1]4-18'!F6,'[1]4-18'!F6-'[1]4-17'!F6,'[1]4-17'!F6-'[1]4-16'!F6,'[1]4-16'!F6-'[1]4-15'!F6)</f>
        <v>3056.2857142857142</v>
      </c>
      <c r="L6" s="6">
        <f t="shared" si="1"/>
        <v>148</v>
      </c>
      <c r="M6" s="8">
        <f t="shared" ca="1" si="2"/>
        <v>44461</v>
      </c>
    </row>
    <row r="7" spans="1:13" x14ac:dyDescent="0.25">
      <c r="A7" s="9">
        <v>6</v>
      </c>
      <c r="B7" s="9" t="s">
        <v>18</v>
      </c>
      <c r="C7" s="10">
        <v>1952778</v>
      </c>
      <c r="D7" s="10">
        <v>99909302</v>
      </c>
      <c r="E7" s="11">
        <f>'[1]4-22'!P7</f>
        <v>13.5</v>
      </c>
      <c r="F7" s="11">
        <v>14.6</v>
      </c>
      <c r="G7" s="11">
        <f>'[1]4-15'!M7</f>
        <v>1623.5</v>
      </c>
      <c r="H7" s="11">
        <f>'[1]4-15'!Q7</f>
        <v>17.13</v>
      </c>
      <c r="I7" s="12">
        <f>'[1]4-22'!F7</f>
        <v>481336</v>
      </c>
      <c r="J7" s="13">
        <f t="shared" si="0"/>
        <v>0.24648782401276539</v>
      </c>
      <c r="K7" s="12">
        <f>AVERAGE('[1]4-22'!F7-'[1]4-21'!F7,'[1]4-21'!F7-'[1]4-20'!F7,'[1]4-20'!F7-'[1]4-19'!F7,'[1]4-19'!F7-'[1]4-18'!F7,'[1]4-18'!F7-'[1]4-17'!F7,'[1]4-17'!F7-'[1]4-16'!F7,'[1]4-16'!F7-'[1]4-15'!F7)</f>
        <v>9003.1428571428569</v>
      </c>
      <c r="L7" s="14">
        <f t="shared" si="1"/>
        <v>164</v>
      </c>
      <c r="M7" s="15">
        <f t="shared" ca="1" si="2"/>
        <v>44477</v>
      </c>
    </row>
    <row r="8" spans="1:13" x14ac:dyDescent="0.25">
      <c r="A8" s="4">
        <v>7</v>
      </c>
      <c r="B8" s="4" t="s">
        <v>19</v>
      </c>
      <c r="C8" s="5">
        <v>14105</v>
      </c>
      <c r="D8" s="5">
        <v>253914</v>
      </c>
      <c r="E8" s="6">
        <f>'[1]4-22'!P8</f>
        <v>12.2</v>
      </c>
      <c r="F8" s="6">
        <v>18.3</v>
      </c>
      <c r="G8" s="6">
        <f>'[1]4-15'!M8</f>
        <v>24.86</v>
      </c>
      <c r="H8" s="6">
        <f>'[1]4-15'!Q8</f>
        <v>18.93</v>
      </c>
      <c r="I8" s="5">
        <f>'[1]4-22'!F8</f>
        <v>2111</v>
      </c>
      <c r="J8" s="7">
        <f t="shared" si="0"/>
        <v>0.14966323998582062</v>
      </c>
      <c r="K8" s="5">
        <f>AVERAGE('[1]4-22'!F8-'[1]4-21'!F8,'[1]4-21'!F8-'[1]4-20'!F8,'[1]4-20'!F8-'[1]4-19'!F8,'[1]4-19'!F8-'[1]4-18'!F8,'[1]4-18'!F8-'[1]4-17'!F8,'[1]4-17'!F8-'[1]4-16'!F8,'[1]4-16'!F8-'[1]4-15'!F8)</f>
        <v>18</v>
      </c>
      <c r="L8" s="6">
        <f t="shared" si="1"/>
        <v>667</v>
      </c>
      <c r="M8" s="8">
        <f t="shared" ca="1" si="2"/>
        <v>44980</v>
      </c>
    </row>
    <row r="9" spans="1:13" x14ac:dyDescent="0.25">
      <c r="A9" s="9">
        <v>8</v>
      </c>
      <c r="B9" s="9" t="s">
        <v>20</v>
      </c>
      <c r="C9" s="10">
        <v>188910</v>
      </c>
      <c r="D9" s="10">
        <v>4952728</v>
      </c>
      <c r="E9" s="11">
        <f>'[1]4-22'!P9</f>
        <v>11.1</v>
      </c>
      <c r="F9" s="11">
        <v>11.3</v>
      </c>
      <c r="G9" s="11">
        <f>'[1]4-15'!M9</f>
        <v>277.36</v>
      </c>
      <c r="H9" s="11">
        <f>'[1]4-15'!Q9</f>
        <v>40.799999999999997</v>
      </c>
      <c r="I9" s="12">
        <f>'[1]4-22'!F9</f>
        <v>65886</v>
      </c>
      <c r="J9" s="13">
        <f t="shared" si="0"/>
        <v>0.34876925520088931</v>
      </c>
      <c r="K9" s="12">
        <f>AVERAGE('[1]4-22'!F9-'[1]4-21'!F9,'[1]4-21'!F9-'[1]4-20'!F9,'[1]4-20'!F9-'[1]4-19'!F9,'[1]4-19'!F9-'[1]4-18'!F9,'[1]4-18'!F9-'[1]4-17'!F9,'[1]4-17'!F9-'[1]4-16'!F9,'[1]4-16'!F9-'[1]4-15'!F9)</f>
        <v>1198</v>
      </c>
      <c r="L9" s="14">
        <f t="shared" si="1"/>
        <v>103</v>
      </c>
      <c r="M9" s="15">
        <f t="shared" ca="1" si="2"/>
        <v>44416</v>
      </c>
    </row>
    <row r="10" spans="1:13" x14ac:dyDescent="0.25">
      <c r="A10" s="4">
        <v>9</v>
      </c>
      <c r="B10" s="4" t="s">
        <v>21</v>
      </c>
      <c r="C10" s="5">
        <v>149657</v>
      </c>
      <c r="D10" s="5">
        <v>3879314</v>
      </c>
      <c r="E10" s="6">
        <f>'[1]4-22'!P10</f>
        <v>16.7</v>
      </c>
      <c r="F10" s="6">
        <v>10.4</v>
      </c>
      <c r="G10" s="6">
        <f>'[1]4-15'!M10</f>
        <v>257.18</v>
      </c>
      <c r="H10" s="6">
        <f>'[1]4-15'!Q10</f>
        <v>36.71</v>
      </c>
      <c r="I10" s="5">
        <f>'[1]4-22'!F10</f>
        <v>42441</v>
      </c>
      <c r="J10" s="7">
        <f t="shared" si="0"/>
        <v>0.28358847230667461</v>
      </c>
      <c r="K10" s="5">
        <f>AVERAGE('[1]4-22'!F10-'[1]4-21'!F10,'[1]4-21'!F10-'[1]4-20'!F10,'[1]4-20'!F10-'[1]4-19'!F10,'[1]4-19'!F10-'[1]4-18'!F10,'[1]4-18'!F10-'[1]4-17'!F10,'[1]4-17'!F10-'[1]4-16'!F10,'[1]4-16'!F10-'[1]4-15'!F10)</f>
        <v>616.71428571428567</v>
      </c>
      <c r="L10" s="6">
        <f t="shared" si="1"/>
        <v>174</v>
      </c>
      <c r="M10" s="8">
        <f t="shared" ca="1" si="2"/>
        <v>44487</v>
      </c>
    </row>
    <row r="11" spans="1:13" x14ac:dyDescent="0.25">
      <c r="A11" s="9">
        <v>10</v>
      </c>
      <c r="B11" s="9" t="s">
        <v>22</v>
      </c>
      <c r="C11" s="10">
        <v>219252</v>
      </c>
      <c r="D11" s="10">
        <v>4858684</v>
      </c>
      <c r="E11" s="11">
        <f>'[1]4-22'!P11</f>
        <v>10.6</v>
      </c>
      <c r="F11" s="11">
        <v>10.4</v>
      </c>
      <c r="G11" s="11">
        <f>'[1]4-15'!M11</f>
        <v>362.63</v>
      </c>
      <c r="H11" s="11">
        <f>'[1]4-15'!Q11</f>
        <v>16.350000000000001</v>
      </c>
      <c r="I11" s="12">
        <f>'[1]4-22'!F11</f>
        <v>40733</v>
      </c>
      <c r="J11" s="13">
        <f t="shared" si="0"/>
        <v>0.18578165763596227</v>
      </c>
      <c r="K11" s="12">
        <f>AVERAGE('[1]4-22'!F11-'[1]4-21'!F11,'[1]4-21'!F11-'[1]4-20'!F11,'[1]4-20'!F11-'[1]4-19'!F11,'[1]4-19'!F11-'[1]4-18'!F11,'[1]4-18'!F11-'[1]4-17'!F11,'[1]4-17'!F11-'[1]4-16'!F11,'[1]4-16'!F11-'[1]4-15'!F11)</f>
        <v>624.14285714285711</v>
      </c>
      <c r="L11" s="14">
        <f t="shared" si="1"/>
        <v>287</v>
      </c>
      <c r="M11" s="15">
        <f t="shared" ca="1" si="2"/>
        <v>44600</v>
      </c>
    </row>
    <row r="12" spans="1:13" x14ac:dyDescent="0.25">
      <c r="A12" s="4">
        <v>11</v>
      </c>
      <c r="B12" s="4" t="s">
        <v>23</v>
      </c>
      <c r="C12" s="5">
        <v>384902</v>
      </c>
      <c r="D12" s="5">
        <v>16351772</v>
      </c>
      <c r="E12" s="6">
        <f>'[1]4-22'!P12</f>
        <v>12.3</v>
      </c>
      <c r="F12" s="6">
        <v>16.5</v>
      </c>
      <c r="G12" s="6">
        <f>'[1]4-15'!M12</f>
        <v>192.75</v>
      </c>
      <c r="H12" s="6">
        <f>'[1]4-15'!Q12</f>
        <v>32.92</v>
      </c>
      <c r="I12" s="5">
        <f>'[1]4-22'!F12</f>
        <v>123077</v>
      </c>
      <c r="J12" s="7">
        <f t="shared" si="0"/>
        <v>0.31976191342211785</v>
      </c>
      <c r="K12" s="5">
        <f>AVERAGE('[1]4-22'!F12-'[1]4-21'!F12,'[1]4-21'!F12-'[1]4-20'!F12,'[1]4-20'!F12-'[1]4-19'!F12,'[1]4-19'!F12-'[1]4-18'!F12,'[1]4-18'!F12-'[1]4-17'!F12,'[1]4-17'!F12-'[1]4-16'!F12,'[1]4-16'!F12-'[1]4-15'!F12)</f>
        <v>1774.2857142857142</v>
      </c>
      <c r="L12" s="6">
        <f t="shared" si="1"/>
        <v>148</v>
      </c>
      <c r="M12" s="8">
        <f t="shared" ca="1" si="2"/>
        <v>44461</v>
      </c>
    </row>
    <row r="13" spans="1:13" x14ac:dyDescent="0.25">
      <c r="A13" s="9">
        <v>12</v>
      </c>
      <c r="B13" s="9" t="s">
        <v>24</v>
      </c>
      <c r="C13" s="10">
        <v>71686</v>
      </c>
      <c r="D13" s="10">
        <v>2228549</v>
      </c>
      <c r="E13" s="11">
        <f>'[1]4-22'!P13</f>
        <v>17.399999999999999</v>
      </c>
      <c r="F13" s="11">
        <v>12.4</v>
      </c>
      <c r="G13" s="11">
        <f>'[1]4-15'!M13</f>
        <v>89.88</v>
      </c>
      <c r="H13" s="11">
        <f>'[1]4-15'!Q13</f>
        <v>19.260000000000002</v>
      </c>
      <c r="I13" s="12">
        <f>'[1]4-22'!F13</f>
        <v>12811</v>
      </c>
      <c r="J13" s="13">
        <f t="shared" si="0"/>
        <v>0.17870992941439054</v>
      </c>
      <c r="K13" s="12">
        <f>AVERAGE('[1]4-22'!F13-'[1]4-21'!F13,'[1]4-21'!F13-'[1]4-20'!F13,'[1]4-20'!F13-'[1]4-19'!F13,'[1]4-19'!F13-'[1]4-18'!F13,'[1]4-18'!F13-'[1]4-17'!F13,'[1]4-17'!F13-'[1]4-16'!F13,'[1]4-16'!F13-'[1]4-15'!F13)</f>
        <v>132.71428571428572</v>
      </c>
      <c r="L13" s="14">
        <f t="shared" si="1"/>
        <v>444</v>
      </c>
      <c r="M13" s="15">
        <f t="shared" ca="1" si="2"/>
        <v>44757</v>
      </c>
    </row>
    <row r="14" spans="1:13" x14ac:dyDescent="0.25">
      <c r="A14" s="4">
        <v>13</v>
      </c>
      <c r="B14" s="4" t="s">
        <v>25</v>
      </c>
      <c r="C14" s="5">
        <v>38001</v>
      </c>
      <c r="D14" s="5">
        <v>1014538</v>
      </c>
      <c r="E14" s="6">
        <f>'[1]4-22'!P14</f>
        <v>28.5</v>
      </c>
      <c r="F14" s="6">
        <v>18.399999999999999</v>
      </c>
      <c r="G14" s="6">
        <f>'[1]4-15'!M14</f>
        <v>59.68</v>
      </c>
      <c r="H14" s="6">
        <f>'[1]4-15'!Q14</f>
        <v>22.52</v>
      </c>
      <c r="I14" s="5">
        <f>'[1]4-22'!F14</f>
        <v>6213</v>
      </c>
      <c r="J14" s="7">
        <f t="shared" si="0"/>
        <v>0.16349569748164522</v>
      </c>
      <c r="K14" s="5">
        <f>AVERAGE('[1]4-22'!F14-'[1]4-21'!F14,'[1]4-21'!F14-'[1]4-20'!F14,'[1]4-20'!F14-'[1]4-19'!F14,'[1]4-19'!F14-'[1]4-18'!F14,'[1]4-18'!F14-'[1]4-17'!F14,'[1]4-17'!F14-'[1]4-16'!F14,'[1]4-16'!F14-'[1]4-15'!F14)</f>
        <v>98.142857142857139</v>
      </c>
      <c r="L14" s="6">
        <f t="shared" si="1"/>
        <v>324</v>
      </c>
      <c r="M14" s="8">
        <f t="shared" ca="1" si="2"/>
        <v>44637</v>
      </c>
    </row>
    <row r="15" spans="1:13" x14ac:dyDescent="0.25">
      <c r="A15" s="9">
        <v>14</v>
      </c>
      <c r="B15" s="9" t="s">
        <v>26</v>
      </c>
      <c r="C15" s="10">
        <v>16826</v>
      </c>
      <c r="D15" s="10">
        <v>289624</v>
      </c>
      <c r="E15" s="11">
        <f>'[1]4-22'!P15</f>
        <v>23.1</v>
      </c>
      <c r="F15" s="11">
        <v>17.2</v>
      </c>
      <c r="G15" s="11">
        <f>'[1]4-15'!M15</f>
        <v>23.86</v>
      </c>
      <c r="H15" s="11">
        <f>'[1]4-15'!Q15</f>
        <v>23.68</v>
      </c>
      <c r="I15" s="12">
        <f>'[1]4-22'!F15</f>
        <v>2543</v>
      </c>
      <c r="J15" s="13">
        <f t="shared" si="0"/>
        <v>0.1511351479852609</v>
      </c>
      <c r="K15" s="12">
        <f>AVERAGE('[1]4-22'!F15-'[1]4-21'!F15,'[1]4-21'!F15-'[1]4-20'!F15,'[1]4-20'!F15-'[1]4-19'!F15,'[1]4-19'!F15-'[1]4-18'!F15,'[1]4-18'!F15-'[1]4-17'!F15,'[1]4-17'!F15-'[1]4-16'!F15,'[1]4-16'!F15-'[1]4-15'!F15)</f>
        <v>28.142857142857142</v>
      </c>
      <c r="L15" s="14">
        <f t="shared" si="1"/>
        <v>508</v>
      </c>
      <c r="M15" s="15">
        <f t="shared" ca="1" si="2"/>
        <v>44821</v>
      </c>
    </row>
    <row r="16" spans="1:13" x14ac:dyDescent="0.25">
      <c r="A16" s="4">
        <v>15</v>
      </c>
      <c r="B16" s="4" t="s">
        <v>27</v>
      </c>
      <c r="C16" s="5">
        <v>957755</v>
      </c>
      <c r="D16" s="5">
        <v>60169891</v>
      </c>
      <c r="E16" s="6">
        <f>'[1]4-22'!P16</f>
        <v>15.5</v>
      </c>
      <c r="F16" s="6">
        <v>12</v>
      </c>
      <c r="G16" s="6">
        <f>'[1]4-15'!M16</f>
        <v>1255.8599999999999</v>
      </c>
      <c r="H16" s="6">
        <f>'[1]4-15'!Q16</f>
        <v>14.47</v>
      </c>
      <c r="I16" s="5">
        <f>'[1]4-22'!F16</f>
        <v>235811</v>
      </c>
      <c r="J16" s="7">
        <f t="shared" si="0"/>
        <v>0.24621223590584232</v>
      </c>
      <c r="K16" s="5">
        <f>AVERAGE('[1]4-22'!F16-'[1]4-21'!F16,'[1]4-21'!F16-'[1]4-20'!F16,'[1]4-20'!F16-'[1]4-19'!F16,'[1]4-19'!F16-'[1]4-18'!F16,'[1]4-18'!F16-'[1]4-17'!F16,'[1]4-17'!F16-'[1]4-16'!F16,'[1]4-16'!F16-'[1]4-15'!F16)</f>
        <v>3888.8571428571427</v>
      </c>
      <c r="L16" s="6">
        <f t="shared" si="1"/>
        <v>186</v>
      </c>
      <c r="M16" s="8">
        <f t="shared" ca="1" si="2"/>
        <v>44499</v>
      </c>
    </row>
    <row r="17" spans="1:13" x14ac:dyDescent="0.25">
      <c r="A17" s="9">
        <v>16</v>
      </c>
      <c r="B17" s="9" t="s">
        <v>28</v>
      </c>
      <c r="C17" s="10">
        <v>318316</v>
      </c>
      <c r="D17" s="10">
        <v>14931928</v>
      </c>
      <c r="E17" s="11">
        <f>'[1]4-22'!P17</f>
        <v>13.9</v>
      </c>
      <c r="F17" s="11">
        <v>10.199999999999999</v>
      </c>
      <c r="G17" s="11">
        <f>'[1]4-15'!M17</f>
        <v>484.52</v>
      </c>
      <c r="H17" s="11">
        <f>'[1]4-15'!Q17</f>
        <v>17.14</v>
      </c>
      <c r="I17" s="12">
        <f>'[1]4-22'!F17</f>
        <v>73014</v>
      </c>
      <c r="J17" s="13">
        <f t="shared" si="0"/>
        <v>0.22937584035989395</v>
      </c>
      <c r="K17" s="12">
        <f>AVERAGE('[1]4-22'!F17-'[1]4-21'!F17,'[1]4-21'!F17-'[1]4-20'!F17,'[1]4-20'!F17-'[1]4-19'!F17,'[1]4-19'!F17-'[1]4-18'!F17,'[1]4-18'!F17-'[1]4-17'!F17,'[1]4-17'!F17-'[1]4-16'!F17,'[1]4-16'!F17-'[1]4-15'!F17)</f>
        <v>1243.7142857142858</v>
      </c>
      <c r="L17" s="14">
        <f t="shared" si="1"/>
        <v>198</v>
      </c>
      <c r="M17" s="15">
        <f t="shared" ca="1" si="2"/>
        <v>44511</v>
      </c>
    </row>
    <row r="18" spans="1:13" x14ac:dyDescent="0.25">
      <c r="A18" s="4">
        <v>17</v>
      </c>
      <c r="B18" s="4" t="s">
        <v>29</v>
      </c>
      <c r="C18" s="5">
        <v>115081</v>
      </c>
      <c r="D18" s="5">
        <v>2221979</v>
      </c>
      <c r="E18" s="6">
        <f>'[1]4-22'!P18</f>
        <v>11.9</v>
      </c>
      <c r="F18" s="6">
        <v>12.7</v>
      </c>
      <c r="G18" s="6">
        <f>'[1]4-15'!M18</f>
        <v>237.21</v>
      </c>
      <c r="H18" s="6">
        <f>'[1]4-15'!Q18</f>
        <v>31.19</v>
      </c>
      <c r="I18" s="5">
        <f>'[1]4-22'!F18</f>
        <v>34614</v>
      </c>
      <c r="J18" s="7">
        <f t="shared" si="0"/>
        <v>0.30077945099538583</v>
      </c>
      <c r="K18" s="5">
        <f>AVERAGE('[1]4-22'!F18-'[1]4-21'!F18,'[1]4-21'!F18-'[1]4-20'!F18,'[1]4-20'!F18-'[1]4-19'!F18,'[1]4-19'!F18-'[1]4-18'!F18,'[1]4-18'!F18-'[1]4-17'!F18,'[1]4-17'!F18-'[1]4-16'!F18,'[1]4-16'!F18-'[1]4-15'!F18)</f>
        <v>406.85714285714283</v>
      </c>
      <c r="L18" s="6">
        <f t="shared" si="1"/>
        <v>198</v>
      </c>
      <c r="M18" s="8">
        <f t="shared" ca="1" si="2"/>
        <v>44511</v>
      </c>
    </row>
    <row r="19" spans="1:13" x14ac:dyDescent="0.25">
      <c r="A19" s="9">
        <v>18</v>
      </c>
      <c r="B19" s="9" t="s">
        <v>30</v>
      </c>
      <c r="C19" s="10">
        <v>12125</v>
      </c>
      <c r="D19" s="10">
        <v>381839</v>
      </c>
      <c r="E19" s="11">
        <f>'[1]4-22'!P19</f>
        <v>20.7</v>
      </c>
      <c r="F19" s="11">
        <v>18.3</v>
      </c>
      <c r="G19" s="11">
        <f>'[1]4-15'!M19</f>
        <v>22.24</v>
      </c>
      <c r="H19" s="11">
        <f>'[1]4-15'!Q19</f>
        <v>24.13</v>
      </c>
      <c r="I19" s="12">
        <f>'[1]4-22'!F19</f>
        <v>3015</v>
      </c>
      <c r="J19" s="13">
        <f t="shared" si="0"/>
        <v>0.24865979381443298</v>
      </c>
      <c r="K19" s="12">
        <f>AVERAGE('[1]4-22'!F19-'[1]4-21'!F19,'[1]4-21'!F19-'[1]4-20'!F19,'[1]4-20'!F19-'[1]4-19'!F19,'[1]4-19'!F19-'[1]4-18'!F19,'[1]4-18'!F19-'[1]4-17'!F19,'[1]4-17'!F19-'[1]4-16'!F19,'[1]4-16'!F19-'[1]4-15'!F19)</f>
        <v>23</v>
      </c>
      <c r="L19" s="14">
        <f t="shared" si="1"/>
        <v>397</v>
      </c>
      <c r="M19" s="15">
        <f t="shared" ca="1" si="2"/>
        <v>44710</v>
      </c>
    </row>
    <row r="20" spans="1:13" x14ac:dyDescent="0.25">
      <c r="A20" s="4">
        <v>19</v>
      </c>
      <c r="B20" s="4" t="s">
        <v>31</v>
      </c>
      <c r="C20" s="5">
        <v>45660</v>
      </c>
      <c r="D20" s="5">
        <v>1276171</v>
      </c>
      <c r="E20" s="6">
        <f>'[1]4-22'!P20</f>
        <v>24.6</v>
      </c>
      <c r="F20" s="6">
        <v>14.9</v>
      </c>
      <c r="G20" s="6">
        <f>'[1]4-15'!M20</f>
        <v>88.44</v>
      </c>
      <c r="H20" s="6">
        <f>'[1]4-15'!Q20</f>
        <v>18.7</v>
      </c>
      <c r="I20" s="5">
        <f>'[1]4-22'!F20</f>
        <v>11756</v>
      </c>
      <c r="J20" s="7">
        <f t="shared" si="0"/>
        <v>0.25746824353920278</v>
      </c>
      <c r="K20" s="5">
        <f>AVERAGE('[1]4-22'!F20-'[1]4-21'!F20,'[1]4-21'!F20-'[1]4-20'!F20,'[1]4-20'!F20-'[1]4-19'!F20,'[1]4-19'!F20-'[1]4-18'!F20,'[1]4-18'!F20-'[1]4-17'!F20,'[1]4-17'!F20-'[1]4-16'!F20,'[1]4-16'!F20-'[1]4-15'!F20)</f>
        <v>146.71428571428572</v>
      </c>
      <c r="L20" s="6">
        <f t="shared" si="1"/>
        <v>232</v>
      </c>
      <c r="M20" s="8">
        <f t="shared" ca="1" si="2"/>
        <v>44545</v>
      </c>
    </row>
    <row r="21" spans="1:13" x14ac:dyDescent="0.25">
      <c r="A21" s="9">
        <v>20</v>
      </c>
      <c r="B21" s="9" t="s">
        <v>32</v>
      </c>
      <c r="C21" s="10">
        <v>18582</v>
      </c>
      <c r="D21" s="10">
        <v>355242</v>
      </c>
      <c r="E21" s="11">
        <f>'[1]4-22'!P21</f>
        <v>17.899999999999999</v>
      </c>
      <c r="F21" s="11">
        <v>18.100000000000001</v>
      </c>
      <c r="G21" s="11">
        <f>'[1]4-15'!M21</f>
        <v>53.14</v>
      </c>
      <c r="H21" s="11">
        <f>'[1]4-15'!Q21</f>
        <v>20.65</v>
      </c>
      <c r="I21" s="12">
        <f>'[1]4-22'!F21</f>
        <v>2824</v>
      </c>
      <c r="J21" s="13">
        <f t="shared" si="0"/>
        <v>0.1519750295985362</v>
      </c>
      <c r="K21" s="12">
        <f>AVERAGE('[1]4-22'!F21-'[1]4-21'!F21,'[1]4-21'!F21-'[1]4-20'!F21,'[1]4-20'!F21-'[1]4-19'!F21,'[1]4-19'!F21-'[1]4-18'!F21,'[1]4-18'!F21-'[1]4-17'!F21,'[1]4-17'!F21-'[1]4-16'!F21,'[1]4-16'!F21-'[1]4-15'!F21)</f>
        <v>29.857142857142858</v>
      </c>
      <c r="L21" s="14">
        <f t="shared" si="1"/>
        <v>528</v>
      </c>
      <c r="M21" s="15">
        <f t="shared" ca="1" si="2"/>
        <v>44841</v>
      </c>
    </row>
    <row r="22" spans="1:13" x14ac:dyDescent="0.25">
      <c r="A22" s="4">
        <v>21</v>
      </c>
      <c r="B22" s="4" t="s">
        <v>33</v>
      </c>
      <c r="C22" s="5">
        <v>13811</v>
      </c>
      <c r="D22" s="5">
        <v>320686</v>
      </c>
      <c r="E22" s="6">
        <f>'[1]4-22'!P22</f>
        <v>17</v>
      </c>
      <c r="F22" s="6">
        <v>19.899999999999999</v>
      </c>
      <c r="G22" s="6">
        <f>'[1]4-15'!M22</f>
        <v>17.12</v>
      </c>
      <c r="H22" s="6">
        <f>'[1]4-15'!Q22</f>
        <v>27.57</v>
      </c>
      <c r="I22" s="5">
        <f>'[1]4-22'!F22</f>
        <v>1928</v>
      </c>
      <c r="J22" s="7">
        <f t="shared" si="0"/>
        <v>0.13959887046557093</v>
      </c>
      <c r="K22" s="5">
        <f>AVERAGE('[1]4-22'!F22-'[1]4-21'!F22,'[1]4-21'!F22-'[1]4-20'!F22,'[1]4-20'!F22-'[1]4-19'!F22,'[1]4-19'!F22-'[1]4-18'!F22,'[1]4-18'!F22-'[1]4-17'!F22,'[1]4-17'!F22-'[1]4-16'!F22,'[1]4-16'!F22-'[1]4-15'!F22)</f>
        <v>27</v>
      </c>
      <c r="L22" s="6">
        <f t="shared" si="1"/>
        <v>441</v>
      </c>
      <c r="M22" s="8">
        <f t="shared" ca="1" si="2"/>
        <v>44754</v>
      </c>
    </row>
    <row r="23" spans="1:13" x14ac:dyDescent="0.25">
      <c r="A23" s="9">
        <v>22</v>
      </c>
      <c r="B23" s="9" t="s">
        <v>34</v>
      </c>
      <c r="C23" s="10">
        <v>13639</v>
      </c>
      <c r="D23" s="10">
        <v>410310</v>
      </c>
      <c r="E23" s="11">
        <f>'[1]4-22'!P23</f>
        <v>13.9</v>
      </c>
      <c r="F23" s="11">
        <v>11.4</v>
      </c>
      <c r="G23" s="11">
        <f>'[1]4-15'!M23</f>
        <v>24.64</v>
      </c>
      <c r="H23" s="11">
        <f>'[1]4-15'!Q23</f>
        <v>26.5</v>
      </c>
      <c r="I23" s="12">
        <f>'[1]4-22'!F23</f>
        <v>3267</v>
      </c>
      <c r="J23" s="13">
        <f t="shared" si="0"/>
        <v>0.23953369015323703</v>
      </c>
      <c r="K23" s="12">
        <f>AVERAGE('[1]4-22'!F23-'[1]4-21'!F23,'[1]4-21'!F23-'[1]4-20'!F23,'[1]4-20'!F23-'[1]4-19'!F23,'[1]4-19'!F23-'[1]4-18'!F23,'[1]4-18'!F23-'[1]4-17'!F23,'[1]4-17'!F23-'[1]4-16'!F23,'[1]4-16'!F23-'[1]4-15'!F23)</f>
        <v>41.142857142857146</v>
      </c>
      <c r="L23" s="14">
        <f t="shared" si="1"/>
        <v>253</v>
      </c>
      <c r="M23" s="15">
        <f t="shared" ca="1" si="2"/>
        <v>44566</v>
      </c>
    </row>
    <row r="24" spans="1:13" x14ac:dyDescent="0.25">
      <c r="A24" s="4">
        <v>23</v>
      </c>
      <c r="B24" s="4" t="s">
        <v>35</v>
      </c>
      <c r="C24" s="5">
        <v>14428</v>
      </c>
      <c r="D24" s="5">
        <v>492817</v>
      </c>
      <c r="E24" s="6">
        <f>'[1]4-22'!P24</f>
        <v>29.5</v>
      </c>
      <c r="F24" s="6">
        <v>14.3</v>
      </c>
      <c r="G24" s="6">
        <f>'[1]4-15'!M24</f>
        <v>28.08</v>
      </c>
      <c r="H24" s="6">
        <f>'[1]4-15'!Q24</f>
        <v>18.46</v>
      </c>
      <c r="I24" s="5">
        <f>'[1]4-22'!F24</f>
        <v>2293</v>
      </c>
      <c r="J24" s="7">
        <f t="shared" si="0"/>
        <v>0.1589270862212365</v>
      </c>
      <c r="K24" s="5">
        <f>AVERAGE('[1]4-22'!F24-'[1]4-21'!F24,'[1]4-21'!F24-'[1]4-20'!F24,'[1]4-20'!F24-'[1]4-19'!F24,'[1]4-19'!F24-'[1]4-18'!F24,'[1]4-18'!F24-'[1]4-17'!F24,'[1]4-17'!F24-'[1]4-16'!F24,'[1]4-16'!F24-'[1]4-15'!F24)</f>
        <v>35.285714285714285</v>
      </c>
      <c r="L24" s="6">
        <f t="shared" si="1"/>
        <v>344</v>
      </c>
      <c r="M24" s="8">
        <f t="shared" ca="1" si="2"/>
        <v>44657</v>
      </c>
    </row>
    <row r="25" spans="1:13" x14ac:dyDescent="0.25">
      <c r="A25" s="9">
        <v>24</v>
      </c>
      <c r="B25" s="9" t="s">
        <v>36</v>
      </c>
      <c r="C25" s="10">
        <v>26937</v>
      </c>
      <c r="D25" s="10">
        <v>1023242</v>
      </c>
      <c r="E25" s="11">
        <f>'[1]4-22'!P25</f>
        <v>26.7</v>
      </c>
      <c r="F25" s="11">
        <v>12.2</v>
      </c>
      <c r="G25" s="11">
        <f>'[1]4-15'!M25</f>
        <v>42.25</v>
      </c>
      <c r="H25" s="11">
        <f>'[1]4-15'!Q25</f>
        <v>17.43</v>
      </c>
      <c r="I25" s="12">
        <f>'[1]4-22'!F25</f>
        <v>3285</v>
      </c>
      <c r="J25" s="13">
        <f t="shared" si="0"/>
        <v>0.12195121951219512</v>
      </c>
      <c r="K25" s="12">
        <f>AVERAGE('[1]4-22'!F25-'[1]4-21'!F25,'[1]4-21'!F25-'[1]4-20'!F25,'[1]4-20'!F25-'[1]4-19'!F25,'[1]4-19'!F25-'[1]4-18'!F25,'[1]4-18'!F25-'[1]4-17'!F25,'[1]4-17'!F25-'[1]4-16'!F25,'[1]4-16'!F25-'[1]4-15'!F25)</f>
        <v>55.142857142857146</v>
      </c>
      <c r="L25" s="14">
        <f t="shared" si="1"/>
        <v>429</v>
      </c>
      <c r="M25" s="15">
        <f t="shared" ca="1" si="2"/>
        <v>44742</v>
      </c>
    </row>
    <row r="26" spans="1:13" x14ac:dyDescent="0.25">
      <c r="A26" s="4">
        <v>25</v>
      </c>
      <c r="B26" s="4" t="s">
        <v>37</v>
      </c>
      <c r="C26" s="5">
        <v>42022</v>
      </c>
      <c r="D26" s="5">
        <v>1314540</v>
      </c>
      <c r="E26" s="6">
        <f>'[1]4-22'!P26</f>
        <v>26.8</v>
      </c>
      <c r="F26" s="6">
        <v>26.2</v>
      </c>
      <c r="G26" s="6">
        <f>'[1]4-15'!M26</f>
        <v>36.340000000000003</v>
      </c>
      <c r="H26" s="6">
        <f>'[1]4-15'!Q26</f>
        <v>13.75</v>
      </c>
      <c r="I26" s="5">
        <f>'[1]4-22'!F26</f>
        <v>6498</v>
      </c>
      <c r="J26" s="7">
        <f t="shared" si="0"/>
        <v>0.15463328732568654</v>
      </c>
      <c r="K26" s="5">
        <f>AVERAGE('[1]4-22'!F26-'[1]4-21'!F26,'[1]4-21'!F26-'[1]4-20'!F26,'[1]4-20'!F26-'[1]4-19'!F26,'[1]4-19'!F26-'[1]4-18'!F26,'[1]4-18'!F26-'[1]4-17'!F26,'[1]4-17'!F26-'[1]4-16'!F26,'[1]4-16'!F26-'[1]4-15'!F26)</f>
        <v>119.57142857142857</v>
      </c>
      <c r="L26" s="6">
        <f t="shared" si="1"/>
        <v>298</v>
      </c>
      <c r="M26" s="8">
        <f t="shared" ca="1" si="2"/>
        <v>44611</v>
      </c>
    </row>
    <row r="27" spans="1:13" x14ac:dyDescent="0.25">
      <c r="A27" s="9">
        <v>26</v>
      </c>
      <c r="B27" s="9" t="s">
        <v>38</v>
      </c>
      <c r="C27" s="10">
        <v>193920</v>
      </c>
      <c r="D27" s="10">
        <v>3971573</v>
      </c>
      <c r="E27" s="11">
        <f>'[1]4-22'!P27</f>
        <v>14.3</v>
      </c>
      <c r="F27" s="11">
        <v>12.6</v>
      </c>
      <c r="G27" s="11">
        <f>'[1]4-15'!M27</f>
        <v>410.01</v>
      </c>
      <c r="H27" s="11">
        <f>'[1]4-15'!Q27</f>
        <v>27.51</v>
      </c>
      <c r="I27" s="12">
        <f>'[1]4-22'!F27</f>
        <v>45410</v>
      </c>
      <c r="J27" s="13">
        <f t="shared" si="0"/>
        <v>0.23416872937293728</v>
      </c>
      <c r="K27" s="12">
        <f>AVERAGE('[1]4-22'!F27-'[1]4-21'!F27,'[1]4-21'!F27-'[1]4-20'!F27,'[1]4-20'!F27-'[1]4-19'!F27,'[1]4-19'!F27-'[1]4-18'!F27,'[1]4-18'!F27-'[1]4-17'!F27,'[1]4-17'!F27-'[1]4-16'!F27,'[1]4-16'!F27-'[1]4-15'!F27)</f>
        <v>716.42857142857144</v>
      </c>
      <c r="L27" s="14">
        <f t="shared" si="1"/>
        <v>208</v>
      </c>
      <c r="M27" s="15">
        <f t="shared" ca="1" si="2"/>
        <v>44521</v>
      </c>
    </row>
    <row r="28" spans="1:13" x14ac:dyDescent="0.25">
      <c r="A28" s="4">
        <v>27</v>
      </c>
      <c r="B28" s="4" t="s">
        <v>39</v>
      </c>
      <c r="C28" s="5">
        <v>106221</v>
      </c>
      <c r="D28" s="5">
        <v>2626612</v>
      </c>
      <c r="E28" s="6">
        <f>'[1]4-22'!P28</f>
        <v>19.2</v>
      </c>
      <c r="F28" s="6">
        <v>12.7</v>
      </c>
      <c r="G28" s="6">
        <f>'[1]4-15'!M28</f>
        <v>104.38</v>
      </c>
      <c r="H28" s="6">
        <f>'[1]4-15'!Q28</f>
        <v>36.049999999999997</v>
      </c>
      <c r="I28" s="5">
        <f>'[1]4-22'!F28</f>
        <v>25331</v>
      </c>
      <c r="J28" s="7">
        <f t="shared" si="0"/>
        <v>0.23847450127564229</v>
      </c>
      <c r="K28" s="5">
        <f>AVERAGE('[1]4-22'!F28-'[1]4-21'!F28,'[1]4-21'!F28-'[1]4-20'!F28,'[1]4-20'!F28-'[1]4-19'!F28,'[1]4-19'!F28-'[1]4-18'!F28,'[1]4-18'!F28-'[1]4-17'!F28,'[1]4-17'!F28-'[1]4-16'!F28,'[1]4-16'!F28-'[1]4-15'!F28)</f>
        <v>331.42857142857144</v>
      </c>
      <c r="L28" s="6">
        <f t="shared" si="1"/>
        <v>245</v>
      </c>
      <c r="M28" s="8">
        <f t="shared" ca="1" si="2"/>
        <v>44558</v>
      </c>
    </row>
    <row r="29" spans="1:13" x14ac:dyDescent="0.25">
      <c r="A29" s="9">
        <v>28</v>
      </c>
      <c r="B29" s="9" t="s">
        <v>40</v>
      </c>
      <c r="C29" s="10">
        <v>1471968</v>
      </c>
      <c r="D29" s="10">
        <v>84884933</v>
      </c>
      <c r="E29" s="11">
        <f>'[1]4-22'!P29</f>
        <v>15.3</v>
      </c>
      <c r="F29" s="11">
        <v>13</v>
      </c>
      <c r="G29" s="11">
        <f>'[1]4-15'!M29</f>
        <v>1440.39</v>
      </c>
      <c r="H29" s="11">
        <f>'[1]4-15'!Q29</f>
        <v>14.54</v>
      </c>
      <c r="I29" s="12">
        <f>'[1]4-22'!F29</f>
        <v>325442</v>
      </c>
      <c r="J29" s="13">
        <f t="shared" si="0"/>
        <v>0.22109312158959976</v>
      </c>
      <c r="K29" s="12">
        <f>AVERAGE('[1]4-22'!F29-'[1]4-21'!F29,'[1]4-21'!F29-'[1]4-20'!F29,'[1]4-20'!F29-'[1]4-19'!F29,'[1]4-19'!F29-'[1]4-18'!F29,'[1]4-18'!F29-'[1]4-17'!F29,'[1]4-17'!F29-'[1]4-16'!F29,'[1]4-16'!F29-'[1]4-15'!F29)</f>
        <v>6072.4285714285716</v>
      </c>
      <c r="L29" s="14">
        <f t="shared" si="1"/>
        <v>189</v>
      </c>
      <c r="M29" s="15">
        <f t="shared" ca="1" si="2"/>
        <v>44502</v>
      </c>
    </row>
    <row r="30" spans="1:13" x14ac:dyDescent="0.25">
      <c r="A30" s="4">
        <v>29</v>
      </c>
      <c r="B30" s="4" t="s">
        <v>41</v>
      </c>
      <c r="C30" s="5">
        <v>19617</v>
      </c>
      <c r="D30" s="5">
        <v>338550</v>
      </c>
      <c r="E30" s="6">
        <f>'[1]4-22'!P30</f>
        <v>25.6</v>
      </c>
      <c r="F30" s="6">
        <v>18.899999999999999</v>
      </c>
      <c r="G30" s="6">
        <f>'[1]4-15'!M30</f>
        <v>40.97</v>
      </c>
      <c r="H30" s="6">
        <f>'[1]4-15'!Q30</f>
        <v>19.989999999999998</v>
      </c>
      <c r="I30" s="5">
        <f>'[1]4-22'!F30</f>
        <v>2561</v>
      </c>
      <c r="J30" s="7">
        <f t="shared" si="0"/>
        <v>0.13055003313452618</v>
      </c>
      <c r="K30" s="5">
        <f>AVERAGE('[1]4-22'!F30-'[1]4-21'!F30,'[1]4-21'!F30-'[1]4-20'!F30,'[1]4-20'!F30-'[1]4-19'!F30,'[1]4-19'!F30-'[1]4-18'!F30,'[1]4-18'!F30-'[1]4-17'!F30,'[1]4-17'!F30-'[1]4-16'!F30,'[1]4-16'!F30-'[1]4-15'!F30)</f>
        <v>13.428571428571429</v>
      </c>
      <c r="L30" s="6">
        <f t="shared" si="1"/>
        <v>1271</v>
      </c>
      <c r="M30" s="8">
        <f t="shared" ca="1" si="2"/>
        <v>45584</v>
      </c>
    </row>
    <row r="31" spans="1:13" x14ac:dyDescent="0.25">
      <c r="A31" s="9">
        <v>30</v>
      </c>
      <c r="B31" s="9" t="s">
        <v>42</v>
      </c>
      <c r="C31" s="10">
        <v>159923</v>
      </c>
      <c r="D31" s="10">
        <v>5966999</v>
      </c>
      <c r="E31" s="11">
        <f>'[1]4-22'!P31</f>
        <v>12.2</v>
      </c>
      <c r="F31" s="11">
        <v>12.1</v>
      </c>
      <c r="G31" s="11">
        <f>'[1]4-15'!M31</f>
        <v>318.08</v>
      </c>
      <c r="H31" s="11">
        <f>'[1]4-15'!Q31</f>
        <v>33.85</v>
      </c>
      <c r="I31" s="12">
        <f>'[1]4-22'!F31</f>
        <v>48487</v>
      </c>
      <c r="J31" s="13">
        <f t="shared" si="0"/>
        <v>0.30318966002388648</v>
      </c>
      <c r="K31" s="12">
        <f>AVERAGE('[1]4-22'!F31-'[1]4-21'!F31,'[1]4-21'!F31-'[1]4-20'!F31,'[1]4-20'!F31-'[1]4-19'!F31,'[1]4-19'!F31-'[1]4-18'!F31,'[1]4-18'!F31-'[1]4-17'!F31,'[1]4-17'!F31-'[1]4-16'!F31,'[1]4-16'!F31-'[1]4-15'!F31)</f>
        <v>507</v>
      </c>
      <c r="L31" s="14">
        <f t="shared" si="1"/>
        <v>220</v>
      </c>
      <c r="M31" s="15">
        <f t="shared" ca="1" si="2"/>
        <v>44533</v>
      </c>
    </row>
    <row r="32" spans="1:13" x14ac:dyDescent="0.25">
      <c r="A32" s="4">
        <v>31</v>
      </c>
      <c r="B32" s="4" t="s">
        <v>43</v>
      </c>
      <c r="C32" s="5">
        <v>46414</v>
      </c>
      <c r="D32" s="5">
        <v>1408654</v>
      </c>
      <c r="E32" s="6">
        <f>'[1]4-22'!P32</f>
        <v>20.6</v>
      </c>
      <c r="F32" s="6">
        <v>11.3</v>
      </c>
      <c r="G32" s="6">
        <f>'[1]4-15'!M32</f>
        <v>50.55</v>
      </c>
      <c r="H32" s="6">
        <f>'[1]4-15'!Q32</f>
        <v>20.62</v>
      </c>
      <c r="I32" s="5">
        <f>'[1]4-22'!F32</f>
        <v>8687</v>
      </c>
      <c r="J32" s="7">
        <f t="shared" si="0"/>
        <v>0.18716335588400052</v>
      </c>
      <c r="K32" s="5">
        <f>AVERAGE('[1]4-22'!F32-'[1]4-21'!F32,'[1]4-21'!F32-'[1]4-20'!F32,'[1]4-20'!F32-'[1]4-19'!F32,'[1]4-19'!F32-'[1]4-18'!F32,'[1]4-18'!F32-'[1]4-17'!F32,'[1]4-17'!F32-'[1]4-16'!F32,'[1]4-16'!F32-'[1]4-15'!F32)</f>
        <v>57.428571428571431</v>
      </c>
      <c r="L32" s="6">
        <f t="shared" si="1"/>
        <v>657</v>
      </c>
      <c r="M32" s="8">
        <f t="shared" ca="1" si="2"/>
        <v>44970</v>
      </c>
    </row>
    <row r="33" spans="1:13" x14ac:dyDescent="0.25">
      <c r="A33" s="9">
        <v>32</v>
      </c>
      <c r="B33" s="9" t="s">
        <v>44</v>
      </c>
      <c r="C33" s="10">
        <v>14246</v>
      </c>
      <c r="D33" s="10">
        <v>293810</v>
      </c>
      <c r="E33" s="11">
        <f>'[1]4-22'!P33</f>
        <v>14.1</v>
      </c>
      <c r="F33" s="11">
        <v>6.4</v>
      </c>
      <c r="G33" s="11">
        <f>'[1]4-15'!M33</f>
        <v>23.82</v>
      </c>
      <c r="H33" s="11">
        <f>'[1]4-15'!Q33</f>
        <v>24.65</v>
      </c>
      <c r="I33" s="12">
        <f>'[1]4-22'!F33</f>
        <v>4484</v>
      </c>
      <c r="J33" s="13">
        <f t="shared" si="0"/>
        <v>0.31475501895268848</v>
      </c>
      <c r="K33" s="12">
        <f>AVERAGE('[1]4-22'!F33-'[1]4-21'!F33,'[1]4-21'!F33-'[1]4-20'!F33,'[1]4-20'!F33-'[1]4-19'!F33,'[1]4-19'!F33-'[1]4-18'!F33,'[1]4-18'!F33-'[1]4-17'!F33,'[1]4-17'!F33-'[1]4-16'!F33,'[1]4-16'!F33-'[1]4-15'!F33)</f>
        <v>37.571428571428569</v>
      </c>
      <c r="L33" s="14">
        <f t="shared" si="1"/>
        <v>260</v>
      </c>
      <c r="M33" s="15">
        <f t="shared" ca="1" si="2"/>
        <v>44573</v>
      </c>
    </row>
    <row r="34" spans="1:13" x14ac:dyDescent="0.25">
      <c r="A34" s="4">
        <v>33</v>
      </c>
      <c r="B34" s="4" t="s">
        <v>45</v>
      </c>
      <c r="C34" s="5">
        <v>8422</v>
      </c>
      <c r="D34" s="5">
        <v>171278</v>
      </c>
      <c r="E34" s="6">
        <f>'[1]4-22'!P34</f>
        <v>20.100000000000001</v>
      </c>
      <c r="F34" s="6">
        <v>17.600000000000001</v>
      </c>
      <c r="G34" s="6">
        <f>'[1]4-15'!M34</f>
        <v>15.5</v>
      </c>
      <c r="H34" s="6">
        <f>'[1]4-15'!Q34</f>
        <v>17.28</v>
      </c>
      <c r="I34" s="5">
        <f>'[1]4-22'!F34</f>
        <v>1351</v>
      </c>
      <c r="J34" s="7">
        <f t="shared" si="0"/>
        <v>0.16041320351460461</v>
      </c>
      <c r="K34" s="5">
        <f>AVERAGE('[1]4-22'!F34-'[1]4-21'!F34,'[1]4-21'!F34-'[1]4-20'!F34,'[1]4-20'!F34-'[1]4-19'!F34,'[1]4-19'!F34-'[1]4-18'!F34,'[1]4-18'!F34-'[1]4-17'!F34,'[1]4-17'!F34-'[1]4-16'!F34,'[1]4-16'!F34-'[1]4-15'!F34)</f>
        <v>10.428571428571429</v>
      </c>
      <c r="L34" s="6">
        <f t="shared" si="1"/>
        <v>679</v>
      </c>
      <c r="M34" s="8">
        <f t="shared" ca="1" si="2"/>
        <v>44992</v>
      </c>
    </row>
    <row r="35" spans="1:13" x14ac:dyDescent="0.25">
      <c r="A35" s="9">
        <v>34</v>
      </c>
      <c r="B35" s="9" t="s">
        <v>46</v>
      </c>
      <c r="C35" s="10">
        <v>367118</v>
      </c>
      <c r="D35" s="10">
        <v>8468770</v>
      </c>
      <c r="E35" s="11">
        <f>'[1]4-22'!P35</f>
        <v>12.5</v>
      </c>
      <c r="F35" s="11">
        <v>11.6</v>
      </c>
      <c r="G35" s="11">
        <f>'[1]4-15'!M35</f>
        <v>386.13</v>
      </c>
      <c r="H35" s="11">
        <f>'[1]4-15'!Q35</f>
        <v>27.07</v>
      </c>
      <c r="I35" s="12">
        <f>'[1]4-22'!F35</f>
        <v>112033</v>
      </c>
      <c r="J35" s="13">
        <f t="shared" si="0"/>
        <v>0.30516891026863296</v>
      </c>
      <c r="K35" s="12">
        <f>AVERAGE('[1]4-22'!F35-'[1]4-21'!F35,'[1]4-21'!F35-'[1]4-20'!F35,'[1]4-20'!F35-'[1]4-19'!F35,'[1]4-19'!F35-'[1]4-18'!F35,'[1]4-18'!F35-'[1]4-17'!F35,'[1]4-17'!F35-'[1]4-16'!F35,'[1]4-16'!F35-'[1]4-15'!F35)</f>
        <v>2107.7142857142858</v>
      </c>
      <c r="L35" s="14">
        <f t="shared" si="1"/>
        <v>122</v>
      </c>
      <c r="M35" s="15">
        <f t="shared" ca="1" si="2"/>
        <v>44435</v>
      </c>
    </row>
    <row r="36" spans="1:13" x14ac:dyDescent="0.25">
      <c r="A36" s="4">
        <v>35</v>
      </c>
      <c r="B36" s="4" t="s">
        <v>47</v>
      </c>
      <c r="C36" s="5">
        <v>770577</v>
      </c>
      <c r="D36" s="5">
        <v>28207575</v>
      </c>
      <c r="E36" s="6">
        <f>'[1]4-22'!P36</f>
        <v>14</v>
      </c>
      <c r="F36" s="6">
        <v>14.3</v>
      </c>
      <c r="G36" s="6">
        <f>'[1]4-15'!M36</f>
        <v>986.08</v>
      </c>
      <c r="H36" s="6">
        <f>'[1]4-15'!Q36</f>
        <v>29.15</v>
      </c>
      <c r="I36" s="5">
        <f>'[1]4-22'!F36</f>
        <v>199258</v>
      </c>
      <c r="J36" s="7">
        <f t="shared" si="0"/>
        <v>0.25858285414695742</v>
      </c>
      <c r="K36" s="5">
        <f>AVERAGE('[1]4-22'!F36-'[1]4-21'!F36,'[1]4-21'!F36-'[1]4-20'!F36,'[1]4-20'!F36-'[1]4-19'!F36,'[1]4-19'!F36-'[1]4-18'!F36,'[1]4-18'!F36-'[1]4-17'!F36,'[1]4-17'!F36-'[1]4-16'!F36,'[1]4-16'!F36-'[1]4-15'!F36)</f>
        <v>3879.5714285714284</v>
      </c>
      <c r="L36" s="6">
        <f t="shared" si="1"/>
        <v>148</v>
      </c>
      <c r="M36" s="8">
        <f t="shared" ca="1" si="2"/>
        <v>44461</v>
      </c>
    </row>
    <row r="37" spans="1:13" x14ac:dyDescent="0.25">
      <c r="A37" s="9">
        <v>36</v>
      </c>
      <c r="B37" s="9" t="s">
        <v>48</v>
      </c>
      <c r="C37" s="10">
        <v>293582</v>
      </c>
      <c r="D37" s="10">
        <v>14357206</v>
      </c>
      <c r="E37" s="11">
        <f>'[1]4-22'!P37</f>
        <v>20.399999999999999</v>
      </c>
      <c r="F37" s="11">
        <v>8.1999999999999993</v>
      </c>
      <c r="G37" s="11">
        <f>'[1]4-15'!M37</f>
        <v>440.23</v>
      </c>
      <c r="H37" s="11">
        <f>'[1]4-15'!Q37</f>
        <v>13.89</v>
      </c>
      <c r="I37" s="12">
        <f>'[1]4-22'!F37</f>
        <v>73172</v>
      </c>
      <c r="J37" s="13">
        <f t="shared" si="0"/>
        <v>0.24923871354510835</v>
      </c>
      <c r="K37" s="12">
        <f>AVERAGE('[1]4-22'!F37-'[1]4-21'!F37,'[1]4-21'!F37-'[1]4-20'!F37,'[1]4-20'!F37-'[1]4-19'!F37,'[1]4-19'!F37-'[1]4-18'!F37,'[1]4-18'!F37-'[1]4-17'!F37,'[1]4-17'!F37-'[1]4-16'!F37,'[1]4-16'!F37-'[1]4-15'!F37)</f>
        <v>1362.5714285714287</v>
      </c>
      <c r="L37" s="14">
        <f t="shared" si="1"/>
        <v>162</v>
      </c>
      <c r="M37" s="15">
        <f t="shared" ca="1" si="2"/>
        <v>44475</v>
      </c>
    </row>
    <row r="38" spans="1:13" x14ac:dyDescent="0.25">
      <c r="A38" s="4">
        <v>37</v>
      </c>
      <c r="B38" s="4" t="s">
        <v>49</v>
      </c>
      <c r="C38" s="5">
        <v>41503</v>
      </c>
      <c r="D38" s="5">
        <v>933042</v>
      </c>
      <c r="E38" s="6">
        <f>'[1]4-22'!P38</f>
        <v>20.7</v>
      </c>
      <c r="F38" s="6">
        <v>15.5</v>
      </c>
      <c r="G38" s="6">
        <f>'[1]4-15'!M38</f>
        <v>37.119999999999997</v>
      </c>
      <c r="H38" s="6">
        <f>'[1]4-15'!Q38</f>
        <v>25.15</v>
      </c>
      <c r="I38" s="5">
        <f>'[1]4-22'!F38</f>
        <v>8017</v>
      </c>
      <c r="J38" s="7">
        <f t="shared" si="0"/>
        <v>0.19316675902946776</v>
      </c>
      <c r="K38" s="5">
        <f>AVERAGE('[1]4-22'!F38-'[1]4-21'!F38,'[1]4-21'!F38-'[1]4-20'!F38,'[1]4-20'!F38-'[1]4-19'!F38,'[1]4-19'!F38-'[1]4-18'!F38,'[1]4-18'!F38-'[1]4-17'!F38,'[1]4-17'!F38-'[1]4-16'!F38,'[1]4-16'!F38-'[1]4-15'!F38)</f>
        <v>130.28571428571428</v>
      </c>
      <c r="L38" s="6">
        <f t="shared" si="1"/>
        <v>258</v>
      </c>
      <c r="M38" s="8">
        <f t="shared" ca="1" si="2"/>
        <v>44571</v>
      </c>
    </row>
    <row r="39" spans="1:13" x14ac:dyDescent="0.25">
      <c r="A39" s="9">
        <v>38</v>
      </c>
      <c r="B39" s="9" t="s">
        <v>50</v>
      </c>
      <c r="C39" s="10">
        <v>8354</v>
      </c>
      <c r="D39" s="10">
        <v>214226</v>
      </c>
      <c r="E39" s="11">
        <f>'[1]4-22'!P39</f>
        <v>13</v>
      </c>
      <c r="F39" s="11">
        <v>18.5</v>
      </c>
      <c r="G39" s="11">
        <f>'[1]4-15'!M39</f>
        <v>10</v>
      </c>
      <c r="H39" s="11">
        <f>'[1]4-15'!Q39</f>
        <v>15.04</v>
      </c>
      <c r="I39" s="12">
        <f>'[1]4-22'!F39</f>
        <v>1173</v>
      </c>
      <c r="J39" s="13">
        <f t="shared" si="0"/>
        <v>0.14041177878860425</v>
      </c>
      <c r="K39" s="12">
        <f>AVERAGE('[1]4-22'!F39-'[1]4-21'!F39,'[1]4-21'!F39-'[1]4-20'!F39,'[1]4-20'!F39-'[1]4-19'!F39,'[1]4-19'!F39-'[1]4-18'!F39,'[1]4-18'!F39-'[1]4-17'!F39,'[1]4-17'!F39-'[1]4-16'!F39,'[1]4-16'!F39-'[1]4-15'!F39)</f>
        <v>10.142857142857142</v>
      </c>
      <c r="L39" s="14">
        <f t="shared" si="1"/>
        <v>708</v>
      </c>
      <c r="M39" s="15">
        <f t="shared" ca="1" si="2"/>
        <v>45021</v>
      </c>
    </row>
    <row r="40" spans="1:13" x14ac:dyDescent="0.25">
      <c r="A40" s="4">
        <v>39</v>
      </c>
      <c r="B40" s="4" t="s">
        <v>51</v>
      </c>
      <c r="C40" s="5">
        <v>18493</v>
      </c>
      <c r="D40" s="5">
        <v>434847</v>
      </c>
      <c r="E40" s="6">
        <f>'[1]4-22'!P40</f>
        <v>28.2</v>
      </c>
      <c r="F40" s="6">
        <v>13.1</v>
      </c>
      <c r="G40" s="6">
        <f>'[1]4-15'!M40</f>
        <v>26.55</v>
      </c>
      <c r="H40" s="6">
        <f>'[1]4-15'!Q40</f>
        <v>21.1</v>
      </c>
      <c r="I40" s="5">
        <f>'[1]4-22'!F40</f>
        <v>3857</v>
      </c>
      <c r="J40" s="7">
        <f t="shared" si="0"/>
        <v>0.20856540312550695</v>
      </c>
      <c r="K40" s="5">
        <f>AVERAGE('[1]4-22'!F40-'[1]4-21'!F40,'[1]4-21'!F40-'[1]4-20'!F40,'[1]4-20'!F40-'[1]4-19'!F40,'[1]4-19'!F40-'[1]4-18'!F40,'[1]4-18'!F40-'[1]4-17'!F40,'[1]4-17'!F40-'[1]4-16'!F40,'[1]4-16'!F40-'[1]4-15'!F40)</f>
        <v>41.571428571428569</v>
      </c>
      <c r="L40" s="6">
        <f t="shared" si="1"/>
        <v>353</v>
      </c>
      <c r="M40" s="8">
        <f t="shared" ca="1" si="2"/>
        <v>44666</v>
      </c>
    </row>
    <row r="41" spans="1:13" x14ac:dyDescent="0.25">
      <c r="A41" s="9">
        <v>40</v>
      </c>
      <c r="B41" s="9" t="s">
        <v>52</v>
      </c>
      <c r="C41" s="10">
        <v>403253</v>
      </c>
      <c r="D41" s="10">
        <v>13354224</v>
      </c>
      <c r="E41" s="11">
        <f>'[1]4-22'!P41</f>
        <v>12.5</v>
      </c>
      <c r="F41" s="11">
        <v>12.7</v>
      </c>
      <c r="G41" s="11">
        <f>'[1]4-15'!M41</f>
        <v>542.28</v>
      </c>
      <c r="H41" s="11">
        <f>'[1]4-15'!Q41</f>
        <v>28.06</v>
      </c>
      <c r="I41" s="12">
        <f>'[1]4-22'!F41</f>
        <v>105285</v>
      </c>
      <c r="J41" s="13">
        <f t="shared" si="0"/>
        <v>0.26108919214488174</v>
      </c>
      <c r="K41" s="12">
        <f>AVERAGE('[1]4-22'!F41-'[1]4-21'!F41,'[1]4-21'!F41-'[1]4-20'!F41,'[1]4-20'!F41-'[1]4-19'!F41,'[1]4-19'!F41-'[1]4-18'!F41,'[1]4-18'!F41-'[1]4-17'!F41,'[1]4-17'!F41-'[1]4-16'!F41,'[1]4-16'!F41-'[1]4-15'!F41)</f>
        <v>1844.2857142857142</v>
      </c>
      <c r="L41" s="14">
        <f t="shared" si="1"/>
        <v>162</v>
      </c>
      <c r="M41" s="15">
        <f t="shared" ca="1" si="2"/>
        <v>44475</v>
      </c>
    </row>
    <row r="42" spans="1:13" x14ac:dyDescent="0.25">
      <c r="A42" s="4">
        <v>41</v>
      </c>
      <c r="B42" s="4" t="s">
        <v>53</v>
      </c>
      <c r="C42" s="5">
        <v>365579</v>
      </c>
      <c r="D42" s="5">
        <v>9331478</v>
      </c>
      <c r="E42" s="6">
        <f>'[1]4-22'!P42</f>
        <v>16.600000000000001</v>
      </c>
      <c r="F42" s="6">
        <v>12.3</v>
      </c>
      <c r="G42" s="6">
        <f>'[1]4-15'!M42</f>
        <v>230.15</v>
      </c>
      <c r="H42" s="6">
        <f>'[1]4-15'!Q42</f>
        <v>29.18</v>
      </c>
      <c r="I42" s="5">
        <f>'[1]4-22'!F42</f>
        <v>91745</v>
      </c>
      <c r="J42" s="7">
        <f t="shared" si="0"/>
        <v>0.25095806925452502</v>
      </c>
      <c r="K42" s="5">
        <f>AVERAGE('[1]4-22'!F42-'[1]4-21'!F42,'[1]4-21'!F42-'[1]4-20'!F42,'[1]4-20'!F42-'[1]4-19'!F42,'[1]4-19'!F42-'[1]4-18'!F42,'[1]4-18'!F42-'[1]4-17'!F42,'[1]4-17'!F42-'[1]4-16'!F42,'[1]4-16'!F42-'[1]4-15'!F42)</f>
        <v>1289.4285714285713</v>
      </c>
      <c r="L42" s="6">
        <f t="shared" si="1"/>
        <v>213</v>
      </c>
      <c r="M42" s="8">
        <f t="shared" ca="1" si="2"/>
        <v>44526</v>
      </c>
    </row>
    <row r="43" spans="1:13" x14ac:dyDescent="0.25">
      <c r="A43" s="9">
        <v>42</v>
      </c>
      <c r="B43" s="9" t="s">
        <v>54</v>
      </c>
      <c r="C43" s="10">
        <v>161000</v>
      </c>
      <c r="D43" s="10">
        <v>7113457</v>
      </c>
      <c r="E43" s="11">
        <f>'[1]4-22'!P43</f>
        <v>10.5</v>
      </c>
      <c r="F43" s="11">
        <v>11.5</v>
      </c>
      <c r="G43" s="11">
        <f>'[1]4-15'!M43</f>
        <v>296.05</v>
      </c>
      <c r="H43" s="11">
        <f>'[1]4-15'!Q43</f>
        <v>31.53</v>
      </c>
      <c r="I43" s="12">
        <f>'[1]4-22'!F43</f>
        <v>49073</v>
      </c>
      <c r="J43" s="13">
        <f t="shared" si="0"/>
        <v>0.30480124223602484</v>
      </c>
      <c r="K43" s="12">
        <f>AVERAGE('[1]4-22'!F43-'[1]4-21'!F43,'[1]4-21'!F43-'[1]4-20'!F43,'[1]4-20'!F43-'[1]4-19'!F43,'[1]4-19'!F43-'[1]4-18'!F43,'[1]4-18'!F43-'[1]4-17'!F43,'[1]4-17'!F43-'[1]4-16'!F43,'[1]4-16'!F43-'[1]4-15'!F43)</f>
        <v>526.71428571428567</v>
      </c>
      <c r="L43" s="14">
        <f t="shared" si="1"/>
        <v>213</v>
      </c>
      <c r="M43" s="15">
        <f t="shared" ca="1" si="2"/>
        <v>44526</v>
      </c>
    </row>
    <row r="44" spans="1:13" x14ac:dyDescent="0.25">
      <c r="A44" s="4">
        <v>43</v>
      </c>
      <c r="B44" s="4" t="s">
        <v>55</v>
      </c>
      <c r="C44" s="5">
        <v>2716940</v>
      </c>
      <c r="D44" s="5">
        <v>151587328</v>
      </c>
      <c r="E44" s="6">
        <f>'[1]4-22'!P44</f>
        <v>18</v>
      </c>
      <c r="F44" s="6">
        <v>18.100000000000001</v>
      </c>
      <c r="G44" s="6">
        <f>'[1]4-15'!M44</f>
        <v>1430.09</v>
      </c>
      <c r="H44" s="6">
        <f>'[1]4-15'!Q44</f>
        <v>16.66</v>
      </c>
      <c r="I44" s="5">
        <f>'[1]4-22'!F44</f>
        <v>710221</v>
      </c>
      <c r="J44" s="7">
        <f t="shared" si="0"/>
        <v>0.26140474209956788</v>
      </c>
      <c r="K44" s="5">
        <f>AVERAGE('[1]4-22'!F44-'[1]4-21'!F44,'[1]4-21'!F44-'[1]4-20'!F44,'[1]4-20'!F44-'[1]4-19'!F44,'[1]4-19'!F44-'[1]4-18'!F44,'[1]4-18'!F44-'[1]4-17'!F44,'[1]4-17'!F44-'[1]4-16'!F44,'[1]4-16'!F44-'[1]4-15'!F44)</f>
        <v>12476.428571428571</v>
      </c>
      <c r="L44" s="6">
        <f t="shared" si="1"/>
        <v>161</v>
      </c>
      <c r="M44" s="8">
        <f t="shared" ca="1" si="2"/>
        <v>44474</v>
      </c>
    </row>
    <row r="45" spans="1:13" x14ac:dyDescent="0.25">
      <c r="A45" s="9">
        <v>44</v>
      </c>
      <c r="B45" s="9" t="s">
        <v>56</v>
      </c>
      <c r="C45" s="10">
        <v>74228</v>
      </c>
      <c r="D45" s="10">
        <v>4523546</v>
      </c>
      <c r="E45" s="11">
        <f>'[1]4-22'!P45</f>
        <v>11.8</v>
      </c>
      <c r="F45" s="11">
        <v>17.8</v>
      </c>
      <c r="G45" s="11">
        <f>'[1]4-15'!M45</f>
        <v>75.510000000000005</v>
      </c>
      <c r="H45" s="11">
        <f>'[1]4-15'!Q45</f>
        <v>23.75</v>
      </c>
      <c r="I45" s="12">
        <f>'[1]4-22'!F45</f>
        <v>22707</v>
      </c>
      <c r="J45" s="13">
        <f t="shared" si="0"/>
        <v>0.30590882146898746</v>
      </c>
      <c r="K45" s="12">
        <f>AVERAGE('[1]4-22'!F45-'[1]4-21'!F45,'[1]4-21'!F45-'[1]4-20'!F45,'[1]4-20'!F45-'[1]4-19'!F45,'[1]4-19'!F45-'[1]4-18'!F45,'[1]4-18'!F45-'[1]4-17'!F45,'[1]4-17'!F45-'[1]4-16'!F45,'[1]4-16'!F45-'[1]4-15'!F45)</f>
        <v>423.85714285714283</v>
      </c>
      <c r="L45" s="14">
        <f t="shared" si="1"/>
        <v>122</v>
      </c>
      <c r="M45" s="15">
        <f t="shared" ca="1" si="2"/>
        <v>44435</v>
      </c>
    </row>
    <row r="46" spans="1:13" x14ac:dyDescent="0.25">
      <c r="A46" s="4">
        <v>45</v>
      </c>
      <c r="B46" s="4" t="s">
        <v>57</v>
      </c>
      <c r="C46" s="5">
        <v>88625</v>
      </c>
      <c r="D46" s="5">
        <v>2397438</v>
      </c>
      <c r="E46" s="6">
        <f>'[1]4-22'!P46</f>
        <v>10.199999999999999</v>
      </c>
      <c r="F46" s="6">
        <v>11</v>
      </c>
      <c r="G46" s="6">
        <f>'[1]4-15'!M46</f>
        <v>136.62</v>
      </c>
      <c r="H46" s="6">
        <f>'[1]4-15'!Q46</f>
        <v>22.83</v>
      </c>
      <c r="I46" s="5">
        <f>'[1]4-22'!F46</f>
        <v>25969</v>
      </c>
      <c r="J46" s="7">
        <f t="shared" si="0"/>
        <v>0.29302115655853317</v>
      </c>
      <c r="K46" s="5">
        <f>AVERAGE('[1]4-22'!F46-'[1]4-21'!F46,'[1]4-21'!F46-'[1]4-20'!F46,'[1]4-20'!F46-'[1]4-19'!F46,'[1]4-19'!F46-'[1]4-18'!F46,'[1]4-18'!F46-'[1]4-17'!F46,'[1]4-17'!F46-'[1]4-16'!F46,'[1]4-16'!F46-'[1]4-15'!F46)</f>
        <v>317.14285714285717</v>
      </c>
      <c r="L46" s="6">
        <f t="shared" si="1"/>
        <v>198</v>
      </c>
      <c r="M46" s="8">
        <f t="shared" ca="1" si="2"/>
        <v>44511</v>
      </c>
    </row>
    <row r="47" spans="1:13" x14ac:dyDescent="0.25">
      <c r="A47" s="9">
        <v>46</v>
      </c>
      <c r="B47" s="9" t="s">
        <v>58</v>
      </c>
      <c r="C47" s="10">
        <v>210738</v>
      </c>
      <c r="D47" s="10">
        <v>11156453</v>
      </c>
      <c r="E47" s="11">
        <f>'[1]4-22'!P47</f>
        <v>11.5</v>
      </c>
      <c r="F47" s="11">
        <v>12.2</v>
      </c>
      <c r="G47" s="11">
        <f>'[1]4-15'!M47</f>
        <v>226.55</v>
      </c>
      <c r="H47" s="11">
        <f>'[1]4-15'!Q47</f>
        <v>16.309999999999999</v>
      </c>
      <c r="I47" s="12">
        <f>'[1]4-22'!F47</f>
        <v>46439</v>
      </c>
      <c r="J47" s="13">
        <f t="shared" si="0"/>
        <v>0.22036367432546575</v>
      </c>
      <c r="K47" s="12">
        <f>AVERAGE('[1]4-22'!F47-'[1]4-21'!F47,'[1]4-21'!F47-'[1]4-20'!F47,'[1]4-20'!F47-'[1]4-19'!F47,'[1]4-19'!F47-'[1]4-18'!F47,'[1]4-18'!F47-'[1]4-17'!F47,'[1]4-17'!F47-'[1]4-16'!F47,'[1]4-16'!F47-'[1]4-15'!F47)</f>
        <v>585.42857142857144</v>
      </c>
      <c r="L47" s="14">
        <f t="shared" si="1"/>
        <v>281</v>
      </c>
      <c r="M47" s="15">
        <f t="shared" ca="1" si="2"/>
        <v>44594</v>
      </c>
    </row>
    <row r="48" spans="1:13" x14ac:dyDescent="0.25">
      <c r="A48" s="4">
        <v>47</v>
      </c>
      <c r="B48" s="4" t="s">
        <v>59</v>
      </c>
      <c r="C48" s="5">
        <v>42168</v>
      </c>
      <c r="D48" s="5">
        <v>1577307</v>
      </c>
      <c r="E48" s="6">
        <f>'[1]4-22'!P48</f>
        <v>22.7</v>
      </c>
      <c r="F48" s="6">
        <v>18.100000000000001</v>
      </c>
      <c r="G48" s="6">
        <f>'[1]4-15'!M48</f>
        <v>54.82</v>
      </c>
      <c r="H48" s="6">
        <f>'[1]4-15'!Q48</f>
        <v>20.12</v>
      </c>
      <c r="I48" s="5">
        <f>'[1]4-22'!F48</f>
        <v>7281</v>
      </c>
      <c r="J48" s="7">
        <f t="shared" si="0"/>
        <v>0.17266647694934548</v>
      </c>
      <c r="K48" s="5">
        <f>AVERAGE('[1]4-22'!F48-'[1]4-21'!F48,'[1]4-21'!F48-'[1]4-20'!F48,'[1]4-20'!F48-'[1]4-19'!F48,'[1]4-19'!F48-'[1]4-18'!F48,'[1]4-18'!F48-'[1]4-17'!F48,'[1]4-17'!F48-'[1]4-16'!F48,'[1]4-16'!F48-'[1]4-15'!F48)</f>
        <v>113.85714285714286</v>
      </c>
      <c r="L48" s="6">
        <f t="shared" si="1"/>
        <v>307</v>
      </c>
      <c r="M48" s="8">
        <f t="shared" ca="1" si="2"/>
        <v>44620</v>
      </c>
    </row>
    <row r="49" spans="1:13" x14ac:dyDescent="0.25">
      <c r="A49" s="9">
        <v>48</v>
      </c>
      <c r="B49" s="9" t="s">
        <v>60</v>
      </c>
      <c r="C49" s="10">
        <v>1393452</v>
      </c>
      <c r="D49" s="10">
        <v>90245169</v>
      </c>
      <c r="E49" s="11">
        <f>'[1]4-22'!P49</f>
        <v>16.100000000000001</v>
      </c>
      <c r="F49" s="11">
        <v>14.5</v>
      </c>
      <c r="G49" s="11">
        <f>'[1]4-15'!M49</f>
        <v>1545.08</v>
      </c>
      <c r="H49" s="11">
        <f>'[1]4-15'!Q49</f>
        <v>12.31</v>
      </c>
      <c r="I49" s="12">
        <f>'[1]4-22'!F49</f>
        <v>313063</v>
      </c>
      <c r="J49" s="13">
        <f t="shared" si="0"/>
        <v>0.22466722929817459</v>
      </c>
      <c r="K49" s="12">
        <f>AVERAGE('[1]4-22'!F49-'[1]4-21'!F49,'[1]4-21'!F49-'[1]4-20'!F49,'[1]4-20'!F49-'[1]4-19'!F49,'[1]4-19'!F49-'[1]4-18'!F49,'[1]4-18'!F49-'[1]4-17'!F49,'[1]4-17'!F49-'[1]4-16'!F49,'[1]4-16'!F49-'[1]4-15'!F49)</f>
        <v>5732.5714285714284</v>
      </c>
      <c r="L49" s="14">
        <f t="shared" si="1"/>
        <v>189</v>
      </c>
      <c r="M49" s="15">
        <f t="shared" ca="1" si="2"/>
        <v>44502</v>
      </c>
    </row>
    <row r="50" spans="1:13" x14ac:dyDescent="0.25">
      <c r="A50" s="4">
        <v>49</v>
      </c>
      <c r="B50" s="4" t="s">
        <v>61</v>
      </c>
      <c r="C50" s="5">
        <v>375751</v>
      </c>
      <c r="D50" s="5">
        <v>9053658</v>
      </c>
      <c r="E50" s="6">
        <f>'[1]4-22'!P50</f>
        <v>16.3</v>
      </c>
      <c r="F50" s="6">
        <v>15.8</v>
      </c>
      <c r="G50" s="6">
        <f>'[1]4-15'!M50</f>
        <v>283.04000000000002</v>
      </c>
      <c r="H50" s="6">
        <f>'[1]4-15'!Q50</f>
        <v>13.52</v>
      </c>
      <c r="I50" s="5">
        <f>'[1]4-22'!F50</f>
        <v>75702</v>
      </c>
      <c r="J50" s="7">
        <f t="shared" si="0"/>
        <v>0.20146852569919974</v>
      </c>
      <c r="K50" s="5">
        <f>AVERAGE('[1]4-22'!F50-'[1]4-21'!F50,'[1]4-21'!F50-'[1]4-20'!F50,'[1]4-20'!F50-'[1]4-19'!F50,'[1]4-19'!F50-'[1]4-18'!F50,'[1]4-18'!F50-'[1]4-17'!F50,'[1]4-17'!F50-'[1]4-16'!F50,'[1]4-16'!F50-'[1]4-15'!F50)</f>
        <v>1556.8571428571429</v>
      </c>
      <c r="L50" s="6">
        <f t="shared" si="1"/>
        <v>193</v>
      </c>
      <c r="M50" s="8">
        <f t="shared" ca="1" si="2"/>
        <v>44506</v>
      </c>
    </row>
    <row r="51" spans="1:13" x14ac:dyDescent="0.25">
      <c r="A51" s="9">
        <v>50</v>
      </c>
      <c r="B51" s="9" t="s">
        <v>62</v>
      </c>
      <c r="C51" s="10">
        <v>1496770</v>
      </c>
      <c r="D51" s="10">
        <v>75635325</v>
      </c>
      <c r="E51" s="11">
        <f>'[1]4-22'!P51</f>
        <v>12.8</v>
      </c>
      <c r="F51" s="11">
        <v>13.6</v>
      </c>
      <c r="G51" s="11">
        <f>'[1]4-15'!M51</f>
        <v>761.99</v>
      </c>
      <c r="H51" s="11">
        <f>'[1]4-15'!Q51</f>
        <v>24.36</v>
      </c>
      <c r="I51" s="12">
        <f>'[1]4-22'!F51</f>
        <v>398364</v>
      </c>
      <c r="J51" s="13">
        <f t="shared" si="0"/>
        <v>0.266149107745345</v>
      </c>
      <c r="K51" s="12">
        <f>AVERAGE('[1]4-22'!F51-'[1]4-21'!F51,'[1]4-21'!F51-'[1]4-20'!F51,'[1]4-20'!F51-'[1]4-19'!F51,'[1]4-19'!F51-'[1]4-18'!F51,'[1]4-18'!F51-'[1]4-17'!F51,'[1]4-17'!F51-'[1]4-16'!F51,'[1]4-16'!F51-'[1]4-15'!F51)</f>
        <v>5244</v>
      </c>
      <c r="L51" s="14">
        <f t="shared" si="1"/>
        <v>210</v>
      </c>
      <c r="M51" s="15">
        <f t="shared" ca="1" si="2"/>
        <v>44523</v>
      </c>
    </row>
    <row r="52" spans="1:13" x14ac:dyDescent="0.25">
      <c r="A52" s="4">
        <v>51</v>
      </c>
      <c r="B52" s="4" t="s">
        <v>63</v>
      </c>
      <c r="C52" s="5">
        <v>553947</v>
      </c>
      <c r="D52" s="5">
        <v>11638076</v>
      </c>
      <c r="E52" s="6">
        <f>'[1]4-22'!P52</f>
        <v>13.5</v>
      </c>
      <c r="F52" s="6">
        <v>11.8</v>
      </c>
      <c r="G52" s="6">
        <f>'[1]4-15'!M52</f>
        <v>741.98</v>
      </c>
      <c r="H52" s="6">
        <f>'[1]4-15'!Q52</f>
        <v>22.65</v>
      </c>
      <c r="I52" s="5">
        <f>'[1]4-22'!F52</f>
        <v>126678</v>
      </c>
      <c r="J52" s="7">
        <f t="shared" si="0"/>
        <v>0.22868252738980444</v>
      </c>
      <c r="K52" s="5">
        <f>AVERAGE('[1]4-22'!F52-'[1]4-21'!F52,'[1]4-21'!F52-'[1]4-20'!F52,'[1]4-20'!F52-'[1]4-19'!F52,'[1]4-19'!F52-'[1]4-18'!F52,'[1]4-18'!F52-'[1]4-17'!F52,'[1]4-17'!F52-'[1]4-16'!F52,'[1]4-16'!F52-'[1]4-15'!F52)</f>
        <v>2091.7142857142858</v>
      </c>
      <c r="L52" s="6">
        <f t="shared" si="1"/>
        <v>205</v>
      </c>
      <c r="M52" s="8">
        <f t="shared" ca="1" si="2"/>
        <v>44518</v>
      </c>
    </row>
    <row r="53" spans="1:13" x14ac:dyDescent="0.25">
      <c r="A53" s="9">
        <v>52</v>
      </c>
      <c r="B53" s="9" t="s">
        <v>64</v>
      </c>
      <c r="C53" s="10">
        <v>974996</v>
      </c>
      <c r="D53" s="10">
        <v>47873967</v>
      </c>
      <c r="E53" s="11">
        <f>'[1]4-22'!P53</f>
        <v>13</v>
      </c>
      <c r="F53" s="11">
        <v>11.5</v>
      </c>
      <c r="G53" s="11">
        <f>'[1]4-15'!M53</f>
        <v>3561.28</v>
      </c>
      <c r="H53" s="11">
        <f>'[1]4-15'!Q53</f>
        <v>25.4</v>
      </c>
      <c r="I53" s="12">
        <f>'[1]4-22'!F53</f>
        <v>285066</v>
      </c>
      <c r="J53" s="13">
        <f t="shared" si="0"/>
        <v>0.29237658410906303</v>
      </c>
      <c r="K53" s="12">
        <f>AVERAGE('[1]4-22'!F53-'[1]4-21'!F53,'[1]4-21'!F53-'[1]4-20'!F53,'[1]4-20'!F53-'[1]4-19'!F53,'[1]4-19'!F53-'[1]4-18'!F53,'[1]4-18'!F53-'[1]4-17'!F53,'[1]4-17'!F53-'[1]4-16'!F53,'[1]4-16'!F53-'[1]4-15'!F53)</f>
        <v>5242.8571428571431</v>
      </c>
      <c r="L53" s="14">
        <f t="shared" si="1"/>
        <v>132</v>
      </c>
      <c r="M53" s="15">
        <f t="shared" ca="1" si="2"/>
        <v>44445</v>
      </c>
    </row>
    <row r="54" spans="1:13" x14ac:dyDescent="0.25">
      <c r="A54" s="4">
        <v>53</v>
      </c>
      <c r="B54" s="4" t="s">
        <v>65</v>
      </c>
      <c r="C54" s="5">
        <v>724777</v>
      </c>
      <c r="D54" s="5">
        <v>24837880</v>
      </c>
      <c r="E54" s="6">
        <f>'[1]4-22'!P54</f>
        <v>16.600000000000001</v>
      </c>
      <c r="F54" s="6">
        <v>13.2</v>
      </c>
      <c r="G54" s="6">
        <f>'[1]4-15'!M54</f>
        <v>403.21</v>
      </c>
      <c r="H54" s="6">
        <f>'[1]4-15'!Q54</f>
        <v>20.440000000000001</v>
      </c>
      <c r="I54" s="5">
        <f>'[1]4-22'!F54</f>
        <v>142776</v>
      </c>
      <c r="J54" s="7">
        <f t="shared" si="0"/>
        <v>0.19699300612464249</v>
      </c>
      <c r="K54" s="5">
        <f>AVERAGE('[1]4-22'!F54-'[1]4-21'!F54,'[1]4-21'!F54-'[1]4-20'!F54,'[1]4-20'!F54-'[1]4-19'!F54,'[1]4-19'!F54-'[1]4-18'!F54,'[1]4-18'!F54-'[1]4-17'!F54,'[1]4-17'!F54-'[1]4-16'!F54,'[1]4-16'!F54-'[1]4-15'!F54)</f>
        <v>2410.1428571428573</v>
      </c>
      <c r="L54" s="6">
        <f t="shared" si="1"/>
        <v>242</v>
      </c>
      <c r="M54" s="8">
        <f t="shared" ca="1" si="2"/>
        <v>44555</v>
      </c>
    </row>
    <row r="55" spans="1:13" x14ac:dyDescent="0.25">
      <c r="A55" s="9">
        <v>54</v>
      </c>
      <c r="B55" s="9" t="s">
        <v>66</v>
      </c>
      <c r="C55" s="10">
        <v>74521</v>
      </c>
      <c r="D55" s="10">
        <v>2066592</v>
      </c>
      <c r="E55" s="11">
        <f>'[1]4-22'!P55</f>
        <v>24.8</v>
      </c>
      <c r="F55" s="11">
        <v>16</v>
      </c>
      <c r="G55" s="11">
        <f>'[1]4-15'!M55</f>
        <v>102.38</v>
      </c>
      <c r="H55" s="11">
        <f>'[1]4-15'!Q55</f>
        <v>23.72</v>
      </c>
      <c r="I55" s="12">
        <f>'[1]4-22'!F55</f>
        <v>12086</v>
      </c>
      <c r="J55" s="13">
        <f t="shared" si="0"/>
        <v>0.16218247205485703</v>
      </c>
      <c r="K55" s="12">
        <f>AVERAGE('[1]4-22'!F55-'[1]4-21'!F55,'[1]4-21'!F55-'[1]4-20'!F55,'[1]4-20'!F55-'[1]4-19'!F55,'[1]4-19'!F55-'[1]4-18'!F55,'[1]4-18'!F55-'[1]4-17'!F55,'[1]4-17'!F55-'[1]4-16'!F55,'[1]4-16'!F55-'[1]4-15'!F55)</f>
        <v>195.85714285714286</v>
      </c>
      <c r="L55" s="14">
        <f t="shared" si="1"/>
        <v>319</v>
      </c>
      <c r="M55" s="15">
        <f t="shared" ca="1" si="2"/>
        <v>44632</v>
      </c>
    </row>
    <row r="56" spans="1:13" x14ac:dyDescent="0.25">
      <c r="A56" s="4">
        <v>55</v>
      </c>
      <c r="B56" s="4" t="s">
        <v>67</v>
      </c>
      <c r="C56" s="5">
        <v>184313</v>
      </c>
      <c r="D56" s="5">
        <v>7778133</v>
      </c>
      <c r="E56" s="6">
        <f>'[1]4-22'!P56</f>
        <v>9.8000000000000007</v>
      </c>
      <c r="F56" s="6">
        <v>10</v>
      </c>
      <c r="G56" s="6">
        <f>'[1]4-15'!M56</f>
        <v>182.06</v>
      </c>
      <c r="H56" s="6">
        <f>'[1]4-15'!Q56</f>
        <v>16.34</v>
      </c>
      <c r="I56" s="5">
        <f>'[1]4-22'!F56</f>
        <v>36372</v>
      </c>
      <c r="J56" s="7">
        <f t="shared" si="0"/>
        <v>0.19733822356534808</v>
      </c>
      <c r="K56" s="5">
        <f>AVERAGE('[1]4-22'!F56-'[1]4-21'!F56,'[1]4-21'!F56-'[1]4-20'!F56,'[1]4-20'!F56-'[1]4-19'!F56,'[1]4-19'!F56-'[1]4-18'!F56,'[1]4-18'!F56-'[1]4-17'!F56,'[1]4-17'!F56-'[1]4-16'!F56,'[1]4-16'!F56-'[1]4-15'!F56)</f>
        <v>517.28571428571433</v>
      </c>
      <c r="L56" s="6">
        <f t="shared" si="1"/>
        <v>286</v>
      </c>
      <c r="M56" s="8">
        <f t="shared" ca="1" si="2"/>
        <v>44599</v>
      </c>
    </row>
    <row r="57" spans="1:13" x14ac:dyDescent="0.25">
      <c r="A57" s="9">
        <v>56</v>
      </c>
      <c r="B57" s="9" t="s">
        <v>68</v>
      </c>
      <c r="C57" s="10">
        <v>433742</v>
      </c>
      <c r="D57" s="10">
        <v>8431479</v>
      </c>
      <c r="E57" s="11">
        <f>'[1]4-22'!P57</f>
        <v>9.6999999999999993</v>
      </c>
      <c r="F57" s="11">
        <v>11.4</v>
      </c>
      <c r="G57" s="11">
        <f>'[1]4-15'!M57</f>
        <v>780.13</v>
      </c>
      <c r="H57" s="11">
        <f>'[1]4-15'!Q57</f>
        <v>37.340000000000003</v>
      </c>
      <c r="I57" s="12">
        <f>'[1]4-22'!F57</f>
        <v>150100</v>
      </c>
      <c r="J57" s="13">
        <f t="shared" si="0"/>
        <v>0.34605825582950234</v>
      </c>
      <c r="K57" s="12">
        <f>AVERAGE('[1]4-22'!F57-'[1]4-21'!F57,'[1]4-21'!F57-'[1]4-20'!F57,'[1]4-20'!F57-'[1]4-19'!F57,'[1]4-19'!F57-'[1]4-18'!F57,'[1]4-18'!F57-'[1]4-17'!F57,'[1]4-17'!F57-'[1]4-16'!F57,'[1]4-16'!F57-'[1]4-15'!F57)</f>
        <v>2346.5714285714284</v>
      </c>
      <c r="L57" s="14">
        <f t="shared" si="1"/>
        <v>121</v>
      </c>
      <c r="M57" s="15">
        <f t="shared" ca="1" si="2"/>
        <v>44434</v>
      </c>
    </row>
    <row r="58" spans="1:13" x14ac:dyDescent="0.25">
      <c r="A58" s="4">
        <v>57</v>
      </c>
      <c r="B58" s="4" t="s">
        <v>69</v>
      </c>
      <c r="C58" s="5">
        <v>471826</v>
      </c>
      <c r="D58" s="5">
        <v>4137020</v>
      </c>
      <c r="E58" s="6">
        <f>'[1]4-22'!P58</f>
        <v>11.4</v>
      </c>
      <c r="F58" s="6">
        <v>10.4</v>
      </c>
      <c r="G58" s="6">
        <f>'[1]4-15'!M58</f>
        <v>1525.34</v>
      </c>
      <c r="H58" s="6">
        <f>'[1]4-15'!Q58</f>
        <v>15.98</v>
      </c>
      <c r="I58" s="5">
        <f>'[1]4-22'!F58</f>
        <v>103231</v>
      </c>
      <c r="J58" s="7">
        <f t="shared" si="0"/>
        <v>0.21879040154633275</v>
      </c>
      <c r="K58" s="5">
        <f>AVERAGE('[1]4-22'!F58-'[1]4-21'!F58,'[1]4-21'!F58-'[1]4-20'!F58,'[1]4-20'!F58-'[1]4-19'!F58,'[1]4-19'!F58-'[1]4-18'!F58,'[1]4-18'!F58-'[1]4-17'!F58,'[1]4-17'!F58-'[1]4-16'!F58,'[1]4-16'!F58-'[1]4-15'!F58)</f>
        <v>1787.4285714285713</v>
      </c>
      <c r="L58" s="6">
        <f t="shared" si="1"/>
        <v>207</v>
      </c>
      <c r="M58" s="8">
        <f t="shared" ca="1" si="2"/>
        <v>44520</v>
      </c>
    </row>
    <row r="59" spans="1:13" x14ac:dyDescent="0.25">
      <c r="A59" s="9">
        <v>58</v>
      </c>
      <c r="B59" s="9" t="s">
        <v>70</v>
      </c>
      <c r="C59" s="10">
        <v>264672</v>
      </c>
      <c r="D59" s="10">
        <v>18382610</v>
      </c>
      <c r="E59" s="11">
        <f>'[1]4-22'!P59</f>
        <v>8.4</v>
      </c>
      <c r="F59" s="11">
        <v>8.4</v>
      </c>
      <c r="G59" s="11">
        <f>'[1]4-15'!M59</f>
        <v>440.71</v>
      </c>
      <c r="H59" s="11">
        <f>'[1]4-15'!Q59</f>
        <v>20.65</v>
      </c>
      <c r="I59" s="12">
        <f>'[1]4-22'!F59</f>
        <v>87496</v>
      </c>
      <c r="J59" s="13">
        <f t="shared" si="0"/>
        <v>0.33058275903760126</v>
      </c>
      <c r="K59" s="12">
        <f>AVERAGE('[1]4-22'!F59-'[1]4-21'!F59,'[1]4-21'!F59-'[1]4-20'!F59,'[1]4-20'!F59-'[1]4-19'!F59,'[1]4-19'!F59-'[1]4-18'!F59,'[1]4-18'!F59-'[1]4-17'!F59,'[1]4-17'!F59-'[1]4-16'!F59,'[1]4-16'!F59-'[1]4-15'!F59)</f>
        <v>1311.2857142857142</v>
      </c>
      <c r="L59" s="14">
        <f t="shared" si="1"/>
        <v>136</v>
      </c>
      <c r="M59" s="15">
        <f t="shared" ca="1" si="2"/>
        <v>44449</v>
      </c>
    </row>
    <row r="60" spans="1:13" x14ac:dyDescent="0.25">
      <c r="A60" s="4">
        <v>59</v>
      </c>
      <c r="B60" s="4" t="s">
        <v>71</v>
      </c>
      <c r="C60" s="5">
        <v>328297</v>
      </c>
      <c r="D60" s="5">
        <v>20654326</v>
      </c>
      <c r="E60" s="6">
        <f>'[1]4-22'!P60</f>
        <v>15</v>
      </c>
      <c r="F60" s="6">
        <v>14</v>
      </c>
      <c r="G60" s="6">
        <f>'[1]4-15'!M60</f>
        <v>574.29999999999995</v>
      </c>
      <c r="H60" s="6">
        <f>'[1]4-15'!Q60</f>
        <v>24.65</v>
      </c>
      <c r="I60" s="5">
        <f>'[1]4-22'!F60</f>
        <v>72582</v>
      </c>
      <c r="J60" s="7">
        <f t="shared" si="0"/>
        <v>0.22108639433196162</v>
      </c>
      <c r="K60" s="5">
        <f>AVERAGE('[1]4-22'!F60-'[1]4-21'!F60,'[1]4-21'!F60-'[1]4-20'!F60,'[1]4-20'!F60-'[1]4-19'!F60,'[1]4-19'!F60-'[1]4-18'!F60,'[1]4-18'!F60-'[1]4-17'!F60,'[1]4-17'!F60-'[1]4-16'!F60,'[1]4-16'!F60-'[1]4-15'!F60)</f>
        <v>976.85714285714289</v>
      </c>
      <c r="L60" s="6">
        <f t="shared" si="1"/>
        <v>262</v>
      </c>
      <c r="M60" s="8">
        <f t="shared" ca="1" si="2"/>
        <v>44575</v>
      </c>
    </row>
    <row r="61" spans="1:13" x14ac:dyDescent="0.25">
      <c r="A61" s="9">
        <v>60</v>
      </c>
      <c r="B61" s="9" t="s">
        <v>72</v>
      </c>
      <c r="C61" s="10">
        <v>132420</v>
      </c>
      <c r="D61" s="10">
        <v>2690053</v>
      </c>
      <c r="E61" s="11">
        <f>'[1]4-22'!P61</f>
        <v>8.8000000000000007</v>
      </c>
      <c r="F61" s="11">
        <v>6.2</v>
      </c>
      <c r="G61" s="11">
        <f>'[1]4-15'!M61</f>
        <v>237.68</v>
      </c>
      <c r="H61" s="11">
        <f>'[1]4-15'!Q61</f>
        <v>58.17</v>
      </c>
      <c r="I61" s="12">
        <f>'[1]4-22'!F61</f>
        <v>71760</v>
      </c>
      <c r="J61" s="13">
        <f t="shared" si="0"/>
        <v>0.54191209787041228</v>
      </c>
      <c r="K61" s="12">
        <f>AVERAGE('[1]4-22'!F61-'[1]4-21'!F61,'[1]4-21'!F61-'[1]4-20'!F61,'[1]4-20'!F61-'[1]4-19'!F61,'[1]4-19'!F61-'[1]4-18'!F61,'[1]4-18'!F61-'[1]4-17'!F61,'[1]4-17'!F61-'[1]4-16'!F61,'[1]4-16'!F61-'[1]4-15'!F61)</f>
        <v>637.42857142857144</v>
      </c>
      <c r="L61" s="14">
        <f t="shared" si="1"/>
        <v>96</v>
      </c>
      <c r="M61" s="15">
        <f t="shared" ca="1" si="2"/>
        <v>44409</v>
      </c>
    </row>
    <row r="62" spans="1:13" x14ac:dyDescent="0.25">
      <c r="A62" s="4">
        <v>61</v>
      </c>
      <c r="B62" s="4" t="s">
        <v>73</v>
      </c>
      <c r="C62" s="5">
        <v>44417</v>
      </c>
      <c r="D62" s="5">
        <v>1258570</v>
      </c>
      <c r="E62" s="6">
        <f>'[1]4-22'!P62</f>
        <v>17.8</v>
      </c>
      <c r="F62" s="6">
        <v>13.9</v>
      </c>
      <c r="G62" s="6">
        <f>'[1]4-15'!M62</f>
        <v>64.510000000000005</v>
      </c>
      <c r="H62" s="6">
        <f>'[1]4-15'!Q62</f>
        <v>21.73</v>
      </c>
      <c r="I62" s="5">
        <f>'[1]4-22'!F62</f>
        <v>7523</v>
      </c>
      <c r="J62" s="7">
        <f t="shared" si="0"/>
        <v>0.16937208726388545</v>
      </c>
      <c r="K62" s="5">
        <f>AVERAGE('[1]4-22'!F62-'[1]4-21'!F62,'[1]4-21'!F62-'[1]4-20'!F62,'[1]4-20'!F62-'[1]4-19'!F62,'[1]4-19'!F62-'[1]4-18'!F62,'[1]4-18'!F62-'[1]4-17'!F62,'[1]4-17'!F62-'[1]4-16'!F62,'[1]4-16'!F62-'[1]4-15'!F62)</f>
        <v>83.857142857142861</v>
      </c>
      <c r="L62" s="6">
        <f t="shared" si="1"/>
        <v>440</v>
      </c>
      <c r="M62" s="8">
        <f t="shared" ca="1" si="2"/>
        <v>44753</v>
      </c>
    </row>
    <row r="63" spans="1:13" x14ac:dyDescent="0.25">
      <c r="A63" s="9">
        <v>62</v>
      </c>
      <c r="B63" s="9" t="s">
        <v>74</v>
      </c>
      <c r="C63" s="10">
        <v>21569</v>
      </c>
      <c r="D63" s="10">
        <v>766755</v>
      </c>
      <c r="E63" s="11">
        <f>'[1]4-22'!P63</f>
        <v>19.8</v>
      </c>
      <c r="F63" s="11">
        <v>10.9</v>
      </c>
      <c r="G63" s="11">
        <f>'[1]4-15'!M63</f>
        <v>20.67</v>
      </c>
      <c r="H63" s="11">
        <f>'[1]4-15'!Q63</f>
        <v>20.98</v>
      </c>
      <c r="I63" s="12">
        <f>'[1]4-22'!F63</f>
        <v>3405</v>
      </c>
      <c r="J63" s="13">
        <f t="shared" si="0"/>
        <v>0.15786545505123092</v>
      </c>
      <c r="K63" s="12">
        <f>AVERAGE('[1]4-22'!F63-'[1]4-21'!F63,'[1]4-21'!F63-'[1]4-20'!F63,'[1]4-20'!F63-'[1]4-19'!F63,'[1]4-19'!F63-'[1]4-18'!F63,'[1]4-18'!F63-'[1]4-17'!F63,'[1]4-17'!F63-'[1]4-16'!F63,'[1]4-16'!F63-'[1]4-15'!F63)</f>
        <v>43</v>
      </c>
      <c r="L63" s="14">
        <f t="shared" si="1"/>
        <v>423</v>
      </c>
      <c r="M63" s="15">
        <f t="shared" ca="1" si="2"/>
        <v>44736</v>
      </c>
    </row>
    <row r="64" spans="1:13" x14ac:dyDescent="0.25">
      <c r="A64" s="4">
        <v>63</v>
      </c>
      <c r="B64" s="4" t="s">
        <v>75</v>
      </c>
      <c r="C64" s="5">
        <v>15237</v>
      </c>
      <c r="D64" s="5">
        <v>272507</v>
      </c>
      <c r="E64" s="6">
        <f>'[1]4-22'!P64</f>
        <v>22</v>
      </c>
      <c r="F64" s="6">
        <v>12.4</v>
      </c>
      <c r="G64" s="6">
        <f>'[1]4-15'!M64</f>
        <v>62.56</v>
      </c>
      <c r="H64" s="6">
        <f>'[1]4-15'!Q64</f>
        <v>15.21</v>
      </c>
      <c r="I64" s="5">
        <f>'[1]4-22'!F64</f>
        <v>1708</v>
      </c>
      <c r="J64" s="7">
        <f t="shared" si="0"/>
        <v>0.1120955568681499</v>
      </c>
      <c r="K64" s="5">
        <f>AVERAGE('[1]4-22'!F64-'[1]4-21'!F64,'[1]4-21'!F64-'[1]4-20'!F64,'[1]4-20'!F64-'[1]4-19'!F64,'[1]4-19'!F64-'[1]4-18'!F64,'[1]4-18'!F64-'[1]4-17'!F64,'[1]4-17'!F64-'[1]4-16'!F64,'[1]4-16'!F64-'[1]4-15'!F64)</f>
        <v>22.714285714285715</v>
      </c>
      <c r="L64" s="6">
        <f t="shared" si="1"/>
        <v>596</v>
      </c>
      <c r="M64" s="8">
        <f t="shared" ca="1" si="2"/>
        <v>44909</v>
      </c>
    </row>
    <row r="65" spans="1:13" x14ac:dyDescent="0.25">
      <c r="A65" s="9">
        <v>64</v>
      </c>
      <c r="B65" s="9" t="s">
        <v>76</v>
      </c>
      <c r="C65" s="10">
        <v>553284</v>
      </c>
      <c r="D65" s="10">
        <v>17063419</v>
      </c>
      <c r="E65" s="11">
        <f>'[1]4-22'!P65</f>
        <v>15.2</v>
      </c>
      <c r="F65" s="11">
        <v>12.5</v>
      </c>
      <c r="G65" s="11">
        <f>'[1]4-15'!M65</f>
        <v>502.42</v>
      </c>
      <c r="H65" s="11">
        <f>'[1]4-15'!Q65</f>
        <v>24.91</v>
      </c>
      <c r="I65" s="12">
        <f>'[1]4-22'!F65</f>
        <v>135623</v>
      </c>
      <c r="J65" s="13">
        <f t="shared" si="0"/>
        <v>0.24512366162766319</v>
      </c>
      <c r="K65" s="12">
        <f>AVERAGE('[1]4-22'!F65-'[1]4-21'!F65,'[1]4-21'!F65-'[1]4-20'!F65,'[1]4-20'!F65-'[1]4-19'!F65,'[1]4-19'!F65-'[1]4-18'!F65,'[1]4-18'!F65-'[1]4-17'!F65,'[1]4-17'!F65-'[1]4-16'!F65,'[1]4-16'!F65-'[1]4-15'!F65)</f>
        <v>1748</v>
      </c>
      <c r="L65" s="14">
        <f t="shared" si="1"/>
        <v>239</v>
      </c>
      <c r="M65" s="15">
        <f t="shared" ca="1" si="2"/>
        <v>44552</v>
      </c>
    </row>
    <row r="66" spans="1:13" x14ac:dyDescent="0.25">
      <c r="A66" s="4">
        <v>65</v>
      </c>
      <c r="B66" s="4" t="s">
        <v>77</v>
      </c>
      <c r="C66" s="5">
        <v>33739</v>
      </c>
      <c r="D66" s="5">
        <v>692619</v>
      </c>
      <c r="E66" s="6">
        <f>'[1]4-22'!P66</f>
        <v>11.5</v>
      </c>
      <c r="F66" s="6">
        <v>9</v>
      </c>
      <c r="G66" s="6">
        <f>'[1]4-15'!M66</f>
        <v>55.64</v>
      </c>
      <c r="H66" s="6">
        <f>'[1]4-15'!Q66</f>
        <v>15.9</v>
      </c>
      <c r="I66" s="5">
        <f>'[1]4-22'!F66</f>
        <v>6668</v>
      </c>
      <c r="J66" s="7">
        <f t="shared" si="0"/>
        <v>0.19763478467055928</v>
      </c>
      <c r="K66" s="5">
        <f>AVERAGE('[1]4-22'!F66-'[1]4-21'!F66,'[1]4-21'!F66-'[1]4-20'!F66,'[1]4-20'!F66-'[1]4-19'!F66,'[1]4-19'!F66-'[1]4-18'!F66,'[1]4-18'!F66-'[1]4-17'!F66,'[1]4-17'!F66-'[1]4-16'!F66,'[1]4-16'!F66-'[1]4-15'!F66)</f>
        <v>68.428571428571431</v>
      </c>
      <c r="L66" s="6">
        <f t="shared" si="1"/>
        <v>396</v>
      </c>
      <c r="M66" s="8">
        <f t="shared" ca="1" si="2"/>
        <v>44709</v>
      </c>
    </row>
    <row r="67" spans="1:13" x14ac:dyDescent="0.25">
      <c r="A67" s="9">
        <v>66</v>
      </c>
      <c r="B67" s="9" t="s">
        <v>78</v>
      </c>
      <c r="C67" s="10">
        <v>74071</v>
      </c>
      <c r="D67" s="10">
        <v>2775045</v>
      </c>
      <c r="E67" s="11">
        <f>'[1]4-22'!P67</f>
        <v>14.7</v>
      </c>
      <c r="F67" s="11">
        <v>13.5</v>
      </c>
      <c r="G67" s="11">
        <f>'[1]4-15'!M67</f>
        <v>71.38</v>
      </c>
      <c r="H67" s="11">
        <f>'[1]4-15'!Q67</f>
        <v>20.22</v>
      </c>
      <c r="I67" s="12">
        <f>'[1]4-22'!F67</f>
        <v>14578</v>
      </c>
      <c r="J67" s="13">
        <f t="shared" ref="J67:J68" si="3">I67/C67</f>
        <v>0.19681116766345802</v>
      </c>
      <c r="K67" s="12">
        <f>AVERAGE('[1]4-22'!F67-'[1]4-21'!F67,'[1]4-21'!F67-'[1]4-20'!F67,'[1]4-20'!F67-'[1]4-19'!F67,'[1]4-19'!F67-'[1]4-18'!F67,'[1]4-18'!F67-'[1]4-17'!F67,'[1]4-17'!F67-'[1]4-16'!F67,'[1]4-16'!F67-'[1]4-15'!F67)</f>
        <v>147.85714285714286</v>
      </c>
      <c r="L67" s="14">
        <f t="shared" ref="L67:L68" si="4">ROUNDUP((C67-I67)/K67,0)</f>
        <v>403</v>
      </c>
      <c r="M67" s="15">
        <f t="shared" ref="M67:M68" ca="1" si="5">TODAY()+L67</f>
        <v>44716</v>
      </c>
    </row>
    <row r="68" spans="1:13" x14ac:dyDescent="0.25">
      <c r="A68" s="4">
        <v>67</v>
      </c>
      <c r="B68" s="4" t="s">
        <v>79</v>
      </c>
      <c r="C68" s="5">
        <v>25473</v>
      </c>
      <c r="D68" s="5">
        <v>524311</v>
      </c>
      <c r="E68" s="6">
        <f>'[1]4-22'!P68</f>
        <v>22.4</v>
      </c>
      <c r="F68" s="6">
        <v>12.8</v>
      </c>
      <c r="G68" s="6">
        <f>'[1]4-15'!M68</f>
        <v>43.57</v>
      </c>
      <c r="H68" s="6">
        <f>'[1]4-15'!Q68</f>
        <v>17.2</v>
      </c>
      <c r="I68" s="5">
        <f>'[1]4-22'!F68</f>
        <v>3169</v>
      </c>
      <c r="J68" s="7">
        <f t="shared" si="3"/>
        <v>0.12440623405174106</v>
      </c>
      <c r="K68" s="5">
        <f>AVERAGE('[1]4-22'!F68-'[1]4-21'!F68,'[1]4-21'!F68-'[1]4-20'!F68,'[1]4-20'!F68-'[1]4-19'!F68,'[1]4-19'!F68-'[1]4-18'!F68,'[1]4-18'!F68-'[1]4-17'!F68,'[1]4-17'!F68-'[1]4-16'!F68,'[1]4-16'!F68-'[1]4-15'!F68)</f>
        <v>33.571428571428569</v>
      </c>
      <c r="L68" s="6">
        <f t="shared" si="4"/>
        <v>665</v>
      </c>
      <c r="M68" s="8">
        <f t="shared" ca="1" si="5"/>
        <v>44978</v>
      </c>
    </row>
  </sheetData>
  <conditionalFormatting sqref="M2:M68">
    <cfRule type="cellIs" dxfId="0" priority="5" operator="greaterThan">
      <formula>"12.31.21"</formula>
    </cfRule>
  </conditionalFormatting>
  <conditionalFormatting sqref="J2:J6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68">
    <cfRule type="colorScale" priority="1">
      <colorScale>
        <cfvo type="min"/>
        <cfvo type="num" val="180"/>
        <cfvo type="num" val="261"/>
        <color theme="9" tint="0.59999389629810485"/>
        <color rgb="FFFFEB84"/>
        <color rgb="FFFF6600"/>
      </colorScale>
    </cfRule>
    <cfRule type="colorScale" priority="2">
      <colorScale>
        <cfvo type="min"/>
        <cfvo type="percentile" val="50"/>
        <cfvo type="max"/>
        <color theme="9" tint="0.39997558519241921"/>
        <color rgb="FFFFEB84"/>
        <color theme="5" tint="0.39997558519241921"/>
      </colorScale>
    </cfRule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Counties</vt:lpstr>
      <vt:lpstr>Counties!SummTable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</dc:creator>
  <cp:lastModifiedBy>FAB</cp:lastModifiedBy>
  <dcterms:created xsi:type="dcterms:W3CDTF">2021-04-27T18:19:07Z</dcterms:created>
  <dcterms:modified xsi:type="dcterms:W3CDTF">2021-04-27T18:19:24Z</dcterms:modified>
</cp:coreProperties>
</file>